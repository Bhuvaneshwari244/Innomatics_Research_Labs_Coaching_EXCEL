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Excel\dataset\"/>
    </mc:Choice>
  </mc:AlternateContent>
  <xr:revisionPtr revIDLastSave="0" documentId="13_ncr:1_{74CE953E-3BEE-4813-9A19-FA2571EBB0D6}" xr6:coauthVersionLast="47" xr6:coauthVersionMax="47" xr10:uidLastSave="{00000000-0000-0000-0000-000000000000}"/>
  <bookViews>
    <workbookView xWindow="-96" yWindow="0" windowWidth="8316" windowHeight="12336" tabRatio="872" firstSheet="4" activeTab="6" xr2:uid="{00000000-000D-0000-FFFF-FFFF00000000}"/>
  </bookViews>
  <sheets>
    <sheet name="Basics " sheetId="1" r:id="rId1"/>
    <sheet name="Find_Replace" sheetId="26" r:id="rId2"/>
    <sheet name="Text Functions" sheetId="3" r:id="rId3"/>
    <sheet name="Aggregate Functions" sheetId="31" r:id="rId4"/>
    <sheet name="Logical&amp;Comparitive Operators" sheetId="6" r:id="rId5"/>
    <sheet name="IF Functions" sheetId="32" r:id="rId6"/>
    <sheet name="Sumif,Averageif, Countif" sheetId="10" r:id="rId7"/>
    <sheet name="Datetime functions" sheetId="20" r:id="rId8"/>
  </sheets>
  <definedNames>
    <definedName name="Apple">'Basics '!#REF!</definedName>
    <definedName name="Nisha">#REF!</definedName>
    <definedName name="NK">'Basics '!$E$3</definedName>
    <definedName name="Slicer_Category">#REF!</definedName>
    <definedName name="Slicer_Category1">#REF!</definedName>
  </definedNames>
  <calcPr calcId="191029"/>
  <customWorkbookViews>
    <customWorkbookView name="new_2" guid="{586EE853-6E53-4973-9818-E4AB447301FE}" maximized="1" xWindow="-8" yWindow="-8" windowWidth="1382" windowHeight="736" activeSheetId="18"/>
    <customWorkbookView name="new" guid="{06BAD8CE-1DBC-44C9-B316-806B0B5B5BBC}" maximized="1" xWindow="-8" yWindow="-8" windowWidth="1382" windowHeight="736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0" l="1"/>
  <c r="M19" i="10"/>
  <c r="M20" i="10"/>
  <c r="M18" i="10"/>
  <c r="L19" i="10"/>
  <c r="L20" i="10"/>
  <c r="L18" i="10"/>
  <c r="K19" i="10"/>
  <c r="K20" i="10"/>
  <c r="M12" i="10"/>
  <c r="M13" i="10"/>
  <c r="M11" i="10"/>
  <c r="L12" i="10"/>
  <c r="L13" i="10"/>
  <c r="L11" i="10"/>
  <c r="L4" i="10"/>
  <c r="K12" i="10"/>
  <c r="K13" i="10"/>
  <c r="K11" i="10"/>
  <c r="K5" i="10"/>
  <c r="K6" i="10"/>
  <c r="K4" i="10"/>
  <c r="M5" i="10"/>
  <c r="M6" i="10"/>
  <c r="M4" i="10"/>
  <c r="L5" i="10"/>
  <c r="L6" i="10"/>
  <c r="H20" i="10"/>
  <c r="H19" i="10"/>
  <c r="H18" i="10"/>
  <c r="H13" i="10"/>
  <c r="H12" i="10"/>
  <c r="H11" i="10"/>
  <c r="H4" i="10"/>
  <c r="H6" i="10"/>
  <c r="H5" i="10"/>
  <c r="J3" i="32"/>
  <c r="J4" i="32"/>
  <c r="J5" i="32"/>
  <c r="J6" i="32"/>
  <c r="J7" i="32"/>
  <c r="J8" i="32"/>
  <c r="J9" i="32"/>
  <c r="J10" i="32"/>
  <c r="J11" i="32"/>
  <c r="J2" i="32"/>
  <c r="I3" i="32"/>
  <c r="I4" i="32"/>
  <c r="I5" i="32"/>
  <c r="I6" i="32"/>
  <c r="I7" i="32"/>
  <c r="I8" i="32"/>
  <c r="I9" i="32"/>
  <c r="I10" i="32"/>
  <c r="I11" i="32"/>
  <c r="I2" i="32"/>
  <c r="H3" i="32"/>
  <c r="H4" i="32"/>
  <c r="H5" i="32"/>
  <c r="H6" i="32"/>
  <c r="H7" i="32"/>
  <c r="H8" i="32"/>
  <c r="H9" i="32"/>
  <c r="H10" i="32"/>
  <c r="H11" i="32"/>
  <c r="H2" i="32"/>
  <c r="G3" i="32"/>
  <c r="G4" i="32"/>
  <c r="G5" i="32"/>
  <c r="G6" i="32"/>
  <c r="G7" i="32"/>
  <c r="G8" i="32"/>
  <c r="G9" i="32"/>
  <c r="G10" i="32"/>
  <c r="G11" i="32"/>
  <c r="G2" i="32"/>
  <c r="F3" i="32"/>
  <c r="F4" i="32"/>
  <c r="F5" i="32"/>
  <c r="F6" i="32"/>
  <c r="F7" i="32"/>
  <c r="F8" i="32"/>
  <c r="F9" i="32"/>
  <c r="F10" i="32"/>
  <c r="F11" i="32"/>
  <c r="F2" i="32"/>
  <c r="E27" i="31"/>
  <c r="E26" i="31"/>
  <c r="E25" i="31"/>
  <c r="E24" i="31"/>
  <c r="E23" i="31"/>
  <c r="E22" i="31"/>
  <c r="D24" i="31"/>
  <c r="D27" i="31"/>
  <c r="D25" i="31"/>
  <c r="D26" i="31"/>
  <c r="D23" i="31"/>
  <c r="D22" i="31"/>
  <c r="D40" i="3"/>
  <c r="D41" i="3"/>
  <c r="D42" i="3"/>
  <c r="D43" i="3"/>
  <c r="D44" i="3"/>
  <c r="D45" i="3"/>
  <c r="D46" i="3"/>
  <c r="D47" i="3"/>
  <c r="C41" i="3"/>
  <c r="C42" i="3"/>
  <c r="C43" i="3"/>
  <c r="C44" i="3"/>
  <c r="C45" i="3"/>
  <c r="C46" i="3"/>
  <c r="C47" i="3"/>
  <c r="C40" i="3"/>
  <c r="M20" i="3"/>
</calcChain>
</file>

<file path=xl/sharedStrings.xml><?xml version="1.0" encoding="utf-8"?>
<sst xmlns="http://schemas.openxmlformats.org/spreadsheetml/2006/main" count="289" uniqueCount="192">
  <si>
    <t>Names</t>
  </si>
  <si>
    <t>Upper</t>
  </si>
  <si>
    <t>Lower</t>
  </si>
  <si>
    <t>Proper</t>
  </si>
  <si>
    <t>Left</t>
  </si>
  <si>
    <t>Right</t>
  </si>
  <si>
    <t>Mid</t>
  </si>
  <si>
    <t>Len</t>
  </si>
  <si>
    <t>Sharukh Khan</t>
  </si>
  <si>
    <t>Salman Khan</t>
  </si>
  <si>
    <t>Ananya Pandey</t>
  </si>
  <si>
    <t>Happy Singh</t>
  </si>
  <si>
    <t>Akshay Kumar</t>
  </si>
  <si>
    <t>Amir Khan</t>
  </si>
  <si>
    <t>Aishwarya Rai</t>
  </si>
  <si>
    <t>Madhuri Dixit</t>
  </si>
  <si>
    <t>Trim</t>
  </si>
  <si>
    <t>Find</t>
  </si>
  <si>
    <t>Substitute</t>
  </si>
  <si>
    <t>Replace</t>
  </si>
  <si>
    <t>Full Names</t>
  </si>
  <si>
    <t>First Name</t>
  </si>
  <si>
    <t>Last Name</t>
  </si>
  <si>
    <t>Concatenate</t>
  </si>
  <si>
    <t>Sharukh-Khan</t>
  </si>
  <si>
    <t>Salman-Khan</t>
  </si>
  <si>
    <t>Ananya-Pandey</t>
  </si>
  <si>
    <t>Happy-Singh</t>
  </si>
  <si>
    <t>Akshay-Kumar</t>
  </si>
  <si>
    <t>Amir-Khan</t>
  </si>
  <si>
    <t>Aishwarya-Rai</t>
  </si>
  <si>
    <t>Madhuri-Dixit</t>
  </si>
  <si>
    <t>Sharukh//Khan</t>
  </si>
  <si>
    <t>Salman//Khan</t>
  </si>
  <si>
    <t>Ananya//Pandey</t>
  </si>
  <si>
    <t>Happy//Singh</t>
  </si>
  <si>
    <t>Akshay//Kumar</t>
  </si>
  <si>
    <t>Amir//Khan</t>
  </si>
  <si>
    <t>Aishwarya//Rai</t>
  </si>
  <si>
    <t>Madhuri//Dixit</t>
  </si>
  <si>
    <t>Sharukh__Khan</t>
  </si>
  <si>
    <t>Salman__Khan</t>
  </si>
  <si>
    <t>Ananya__Pandey</t>
  </si>
  <si>
    <t>Happy__Singh</t>
  </si>
  <si>
    <t>Akshay__Kumar</t>
  </si>
  <si>
    <t>Amir__Khan</t>
  </si>
  <si>
    <t>Aishwarya__Rai</t>
  </si>
  <si>
    <t>Madhuri__Dixit</t>
  </si>
  <si>
    <t>Category</t>
  </si>
  <si>
    <t>Product</t>
  </si>
  <si>
    <t>Price Each</t>
  </si>
  <si>
    <t>Cost price</t>
  </si>
  <si>
    <t>Premium</t>
  </si>
  <si>
    <t>MidRange</t>
  </si>
  <si>
    <t>Cheap</t>
  </si>
  <si>
    <t>SUM</t>
  </si>
  <si>
    <t>COUNT</t>
  </si>
  <si>
    <t>Quantity Ordered</t>
  </si>
  <si>
    <t>SUMIF</t>
  </si>
  <si>
    <t>SUMIFS</t>
  </si>
  <si>
    <t>Quantity</t>
  </si>
  <si>
    <t>AVERAGEIF</t>
  </si>
  <si>
    <t>AVERAGEIFS</t>
  </si>
  <si>
    <t>Average</t>
  </si>
  <si>
    <t>COUNTIF</t>
  </si>
  <si>
    <t>COUNTIFS</t>
  </si>
  <si>
    <t>Order ID</t>
  </si>
  <si>
    <t>today</t>
  </si>
  <si>
    <t>now</t>
  </si>
  <si>
    <t>date</t>
  </si>
  <si>
    <t>day</t>
  </si>
  <si>
    <t>month</t>
  </si>
  <si>
    <t>year</t>
  </si>
  <si>
    <t>edate</t>
  </si>
  <si>
    <t>time</t>
  </si>
  <si>
    <t>emonth</t>
  </si>
  <si>
    <t>weekday</t>
  </si>
  <si>
    <t>weeknum</t>
  </si>
  <si>
    <t>City</t>
  </si>
  <si>
    <t xml:space="preserve">Find </t>
  </si>
  <si>
    <t>ctrl+f</t>
  </si>
  <si>
    <t xml:space="preserve">replace </t>
  </si>
  <si>
    <t>ctrl+h</t>
  </si>
  <si>
    <t xml:space="preserve">goto </t>
  </si>
  <si>
    <t>ctrl+g</t>
  </si>
  <si>
    <t xml:space="preserve">Formula </t>
  </si>
  <si>
    <t xml:space="preserve">Function </t>
  </si>
  <si>
    <t>undo</t>
  </si>
  <si>
    <t>ctrl+z</t>
  </si>
  <si>
    <t xml:space="preserve">redo </t>
  </si>
  <si>
    <t>ctrl+y</t>
  </si>
  <si>
    <t xml:space="preserve">What </t>
  </si>
  <si>
    <t>No1</t>
  </si>
  <si>
    <t>No2</t>
  </si>
  <si>
    <t xml:space="preserve">Logical formula </t>
  </si>
  <si>
    <t>Comparitive operation</t>
  </si>
  <si>
    <t>Is 10 = 10?</t>
  </si>
  <si>
    <t xml:space="preserve">Equal </t>
  </si>
  <si>
    <t>is 10 &lt;&gt; 20?</t>
  </si>
  <si>
    <t xml:space="preserve">Not Equal </t>
  </si>
  <si>
    <t>is 10&gt;20?</t>
  </si>
  <si>
    <t xml:space="preserve">Great than </t>
  </si>
  <si>
    <t>is 10&gt;=20?</t>
  </si>
  <si>
    <t xml:space="preserve">Great than Or equal </t>
  </si>
  <si>
    <t>is 10&lt;20?</t>
  </si>
  <si>
    <t>Less than</t>
  </si>
  <si>
    <t>is 10&lt;=20?</t>
  </si>
  <si>
    <t xml:space="preserve">Less than or Equal </t>
  </si>
  <si>
    <t xml:space="preserve">Logical Functions </t>
  </si>
  <si>
    <t xml:space="preserve">Logical Test </t>
  </si>
  <si>
    <t>Is 25 = 45?</t>
  </si>
  <si>
    <t>is 25 &lt;&gt; 45?</t>
  </si>
  <si>
    <t>&lt;&gt; , (!=)</t>
  </si>
  <si>
    <t>is 25&gt;45?</t>
  </si>
  <si>
    <t>&gt;</t>
  </si>
  <si>
    <t>is 25&gt;=45?</t>
  </si>
  <si>
    <t>&gt;=</t>
  </si>
  <si>
    <t>is 25&lt;45?</t>
  </si>
  <si>
    <t>&lt;</t>
  </si>
  <si>
    <t>is 25&lt;=45?</t>
  </si>
  <si>
    <t>&lt;=</t>
  </si>
  <si>
    <t xml:space="preserve">Practice Example </t>
  </si>
  <si>
    <t>Sum</t>
  </si>
  <si>
    <t>Min</t>
  </si>
  <si>
    <t>Max</t>
  </si>
  <si>
    <t>Count</t>
  </si>
  <si>
    <t xml:space="preserve">     </t>
  </si>
  <si>
    <t>TEXTJOIN</t>
  </si>
  <si>
    <t xml:space="preserve"> Search</t>
  </si>
  <si>
    <t>with spaces</t>
  </si>
  <si>
    <t>without spaces</t>
  </si>
  <si>
    <t>=</t>
  </si>
  <si>
    <t>Apple iPhone</t>
  </si>
  <si>
    <t>Sony Camera</t>
  </si>
  <si>
    <t>Dell Monito</t>
  </si>
  <si>
    <t xml:space="preserve">Nike Shoes    </t>
  </si>
  <si>
    <t xml:space="preserve">    Apple iPhone</t>
  </si>
  <si>
    <t xml:space="preserve">     Boat Airpods     </t>
  </si>
  <si>
    <t xml:space="preserve">
HP Laptop</t>
  </si>
  <si>
    <t xml:space="preserve">Samsung Mobile     </t>
  </si>
  <si>
    <t xml:space="preserve">       Sony Camera</t>
  </si>
  <si>
    <t xml:space="preserve">      Puma Tshirt     </t>
  </si>
  <si>
    <t>nike Shoes</t>
  </si>
  <si>
    <t>boat Airpods</t>
  </si>
  <si>
    <t>HP laptop</t>
  </si>
  <si>
    <t>samsung mobile</t>
  </si>
  <si>
    <t>Ppuma tshirt</t>
  </si>
  <si>
    <t>Product Name</t>
  </si>
  <si>
    <t xml:space="preserve">    Wireless Mouse</t>
  </si>
  <si>
    <t xml:space="preserve">    Gaming Laptop</t>
  </si>
  <si>
    <t xml:space="preserve">    USB-C Cable</t>
  </si>
  <si>
    <t xml:space="preserve">    Desk Lamp</t>
  </si>
  <si>
    <t xml:space="preserve">    Smartwatch</t>
  </si>
  <si>
    <t xml:space="preserve">    Bluetooth Speaker</t>
  </si>
  <si>
    <t xml:space="preserve">    Laptop Stand</t>
  </si>
  <si>
    <t xml:space="preserve">    Canon Printer</t>
  </si>
  <si>
    <t xml:space="preserve">    Boat Airpods</t>
  </si>
  <si>
    <t xml:space="preserve">    Mi Powerbank</t>
  </si>
  <si>
    <t>Cost Price</t>
  </si>
  <si>
    <t xml:space="preserve">        Mumbai</t>
  </si>
  <si>
    <t xml:space="preserve">        Delhi</t>
  </si>
  <si>
    <t xml:space="preserve">        Kolkata</t>
  </si>
  <si>
    <t xml:space="preserve">        Pune</t>
  </si>
  <si>
    <t xml:space="preserve">        Bengaluru</t>
  </si>
  <si>
    <t xml:space="preserve">    Air Purifier</t>
  </si>
  <si>
    <t xml:space="preserve">        Chennai</t>
  </si>
  <si>
    <t xml:space="preserve">    Wireless Keyboard</t>
  </si>
  <si>
    <t xml:space="preserve">        Hyderabad</t>
  </si>
  <si>
    <t xml:space="preserve">    Electric Kettle</t>
  </si>
  <si>
    <t xml:space="preserve">    Noise Earbuds</t>
  </si>
  <si>
    <t xml:space="preserve">    Redmi Tablet</t>
  </si>
  <si>
    <t xml:space="preserve">    HP Laptop Charger</t>
  </si>
  <si>
    <t xml:space="preserve">    JBL Mini Speaker</t>
  </si>
  <si>
    <t xml:space="preserve">    Titan Watch</t>
  </si>
  <si>
    <t xml:space="preserve">    Dell Monitor</t>
  </si>
  <si>
    <t xml:space="preserve">    Asus Keyboard</t>
  </si>
  <si>
    <t>Wireless Mouse</t>
  </si>
  <si>
    <t>Gaming Laptop</t>
  </si>
  <si>
    <t>USB-C Cable</t>
  </si>
  <si>
    <t>Desk Lamp</t>
  </si>
  <si>
    <t>Smartwatch</t>
  </si>
  <si>
    <t>Bluetooth Speaker</t>
  </si>
  <si>
    <t>Travel Charger</t>
  </si>
  <si>
    <t>Noise Cancelling Headphones</t>
  </si>
  <si>
    <t>Laptop Stand</t>
  </si>
  <si>
    <t>Phone Case</t>
  </si>
  <si>
    <t>Price Each (₹)</t>
  </si>
  <si>
    <t>Total Revenue (₹)</t>
  </si>
  <si>
    <r>
      <t>High Value Order (</t>
    </r>
    <r>
      <rPr>
        <b/>
        <sz val="10"/>
        <color rgb="FFFF0000"/>
        <rFont val="Arial Unicode MS"/>
        <family val="2"/>
      </rPr>
      <t>IF</t>
    </r>
    <r>
      <rPr>
        <b/>
        <sz val="11"/>
        <color rgb="FFFF0000"/>
        <rFont val="Calibri"/>
        <family val="2"/>
        <scheme val="minor"/>
      </rPr>
      <t>)</t>
    </r>
  </si>
  <si>
    <r>
      <t>Top Premium Sale (</t>
    </r>
    <r>
      <rPr>
        <b/>
        <sz val="10"/>
        <color rgb="FFFF0000"/>
        <rFont val="Arial Unicode MS"/>
        <family val="2"/>
      </rPr>
      <t>AND</t>
    </r>
    <r>
      <rPr>
        <b/>
        <sz val="11"/>
        <color rgb="FFFF0000"/>
        <rFont val="Calibri"/>
        <family val="2"/>
        <scheme val="minor"/>
      </rPr>
      <t>)</t>
    </r>
  </si>
  <si>
    <r>
      <t>Offer Eligible (</t>
    </r>
    <r>
      <rPr>
        <b/>
        <sz val="10"/>
        <color rgb="FFFF0000"/>
        <rFont val="Arial Unicode MS"/>
        <family val="2"/>
      </rPr>
      <t>OR</t>
    </r>
    <r>
      <rPr>
        <b/>
        <sz val="11"/>
        <color rgb="FFFF0000"/>
        <rFont val="Calibri"/>
        <family val="2"/>
        <scheme val="minor"/>
      </rPr>
      <t>)</t>
    </r>
  </si>
  <si>
    <r>
      <t>Not Premium (</t>
    </r>
    <r>
      <rPr>
        <b/>
        <sz val="10"/>
        <color rgb="FFFF0000"/>
        <rFont val="Arial Unicode MS"/>
        <family val="2"/>
      </rPr>
      <t>NOT</t>
    </r>
    <r>
      <rPr>
        <b/>
        <sz val="11"/>
        <color rgb="FFFF0000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</si>
</sst>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 [$€-2]\ * #,##0.00_ ;_ [$€-2]\ * \-#,##0.00_ ;_ [$€-2]\ * &quot;-&quot;??_ ;_ @_ 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b/>
      <sz val="12"/>
      <color theme="1"/>
      <name val="Calibri"/>
    </font>
    <font>
      <sz val="9"/>
      <color rgb="FF374151"/>
      <name val="Quattrocento Sans"/>
    </font>
    <font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scheme val="minor"/>
    </font>
    <font>
      <b/>
      <sz val="10"/>
      <color rgb="FFFF0000"/>
      <name val="Arial Unicode MS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F7F7F8"/>
        <bgColor rgb="FFF7F7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9D9E3"/>
      </left>
      <right style="medium">
        <color rgb="FFD9D9E3"/>
      </right>
      <top/>
      <bottom/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E7E6E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9E2F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D9E2F3"/>
      </top>
      <bottom style="thin">
        <color rgb="FFE7E6E6"/>
      </bottom>
      <diagonal/>
    </border>
    <border>
      <left style="thin">
        <color rgb="FF000000"/>
      </left>
      <right style="thin">
        <color rgb="FF000000"/>
      </right>
      <top style="thin">
        <color rgb="FFE7E6E6"/>
      </top>
      <bottom/>
      <diagonal/>
    </border>
    <border>
      <left style="thin">
        <color rgb="FF000000"/>
      </left>
      <right/>
      <top style="thin">
        <color rgb="FFD6DCE4"/>
      </top>
      <bottom/>
      <diagonal/>
    </border>
    <border>
      <left style="thin">
        <color rgb="FF000000"/>
      </left>
      <right/>
      <top style="thin">
        <color rgb="FFE7E6E6"/>
      </top>
      <bottom/>
      <diagonal/>
    </border>
    <border>
      <left style="thin">
        <color rgb="FF000000"/>
      </left>
      <right/>
      <top style="thin">
        <color rgb="FFE7E6E6"/>
      </top>
      <bottom/>
      <diagonal/>
    </border>
    <border>
      <left/>
      <right/>
      <top style="thin">
        <color rgb="FFE7E6E6"/>
      </top>
      <bottom/>
      <diagonal/>
    </border>
    <border>
      <left style="thin">
        <color rgb="FF000000"/>
      </left>
      <right style="thin">
        <color rgb="FF000000"/>
      </right>
      <top style="thin">
        <color rgb="FFE7E6E6"/>
      </top>
      <bottom style="thin">
        <color rgb="FFE7E6E6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</borders>
  <cellStyleXfs count="4">
    <xf numFmtId="0" fontId="0" fillId="0" borderId="0"/>
    <xf numFmtId="0" fontId="3" fillId="0" borderId="1"/>
    <xf numFmtId="43" fontId="3" fillId="0" borderId="1" applyFont="0" applyFill="0" applyBorder="0" applyAlignment="0" applyProtection="0"/>
    <xf numFmtId="164" fontId="3" fillId="0" borderId="1" applyFont="0" applyFill="0" applyBorder="0" applyAlignment="0" applyProtection="0"/>
  </cellStyleXfs>
  <cellXfs count="97">
    <xf numFmtId="0" fontId="0" fillId="0" borderId="0" xfId="0"/>
    <xf numFmtId="0" fontId="4" fillId="0" borderId="0" xfId="0" applyFont="1" applyAlignment="1">
      <alignment wrapText="1"/>
    </xf>
    <xf numFmtId="165" fontId="4" fillId="0" borderId="0" xfId="0" applyNumberFormat="1" applyFont="1"/>
    <xf numFmtId="0" fontId="4" fillId="2" borderId="1" xfId="0" applyFont="1" applyFill="1" applyBorder="1"/>
    <xf numFmtId="0" fontId="6" fillId="0" borderId="0" xfId="0" applyFont="1"/>
    <xf numFmtId="0" fontId="7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4" fillId="5" borderId="2" xfId="0" applyFont="1" applyFill="1" applyBorder="1" applyAlignment="1">
      <alignment vertical="center"/>
    </xf>
    <xf numFmtId="0" fontId="5" fillId="0" borderId="0" xfId="0" applyFont="1"/>
    <xf numFmtId="0" fontId="4" fillId="4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right" wrapText="1"/>
    </xf>
    <xf numFmtId="2" fontId="4" fillId="7" borderId="2" xfId="0" applyNumberFormat="1" applyFont="1" applyFill="1" applyBorder="1" applyAlignment="1">
      <alignment horizontal="right" wrapText="1"/>
    </xf>
    <xf numFmtId="0" fontId="4" fillId="8" borderId="1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vertical="center"/>
    </xf>
    <xf numFmtId="0" fontId="4" fillId="5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wrapText="1"/>
    </xf>
    <xf numFmtId="2" fontId="4" fillId="2" borderId="2" xfId="0" applyNumberFormat="1" applyFont="1" applyFill="1" applyBorder="1" applyAlignment="1">
      <alignment horizontal="right" wrapText="1"/>
    </xf>
    <xf numFmtId="0" fontId="4" fillId="0" borderId="2" xfId="0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8" borderId="19" xfId="0" applyFont="1" applyFill="1" applyBorder="1" applyAlignment="1">
      <alignment vertical="center"/>
    </xf>
    <xf numFmtId="0" fontId="5" fillId="0" borderId="20" xfId="0" applyFont="1" applyBorder="1" applyAlignment="1">
      <alignment horizontal="center"/>
    </xf>
    <xf numFmtId="0" fontId="4" fillId="8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/>
    <xf numFmtId="0" fontId="5" fillId="0" borderId="25" xfId="0" applyFont="1" applyBorder="1"/>
    <xf numFmtId="0" fontId="4" fillId="8" borderId="26" xfId="0" applyFont="1" applyFill="1" applyBorder="1" applyAlignment="1">
      <alignment horizontal="center" vertical="center"/>
    </xf>
    <xf numFmtId="22" fontId="4" fillId="0" borderId="0" xfId="0" applyNumberFormat="1" applyFont="1"/>
    <xf numFmtId="14" fontId="4" fillId="0" borderId="0" xfId="0" applyNumberFormat="1" applyFont="1"/>
    <xf numFmtId="20" fontId="4" fillId="0" borderId="0" xfId="0" applyNumberFormat="1" applyFont="1"/>
    <xf numFmtId="14" fontId="4" fillId="2" borderId="1" xfId="0" applyNumberFormat="1" applyFont="1" applyFill="1" applyBorder="1"/>
    <xf numFmtId="0" fontId="3" fillId="0" borderId="1" xfId="1"/>
    <xf numFmtId="0" fontId="3" fillId="12" borderId="27" xfId="1" applyFill="1" applyBorder="1"/>
    <xf numFmtId="0" fontId="3" fillId="12" borderId="1" xfId="1" applyFill="1"/>
    <xf numFmtId="0" fontId="0" fillId="10" borderId="27" xfId="0" applyFill="1" applyBorder="1"/>
    <xf numFmtId="0" fontId="0" fillId="9" borderId="27" xfId="0" applyFill="1" applyBorder="1"/>
    <xf numFmtId="0" fontId="0" fillId="0" borderId="27" xfId="0" applyBorder="1"/>
    <xf numFmtId="0" fontId="0" fillId="11" borderId="27" xfId="0" applyFill="1" applyBorder="1"/>
    <xf numFmtId="0" fontId="11" fillId="0" borderId="0" xfId="0" applyFont="1"/>
    <xf numFmtId="0" fontId="4" fillId="0" borderId="2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0" fillId="0" borderId="0" xfId="0" applyNumberFormat="1"/>
    <xf numFmtId="0" fontId="12" fillId="4" borderId="2" xfId="0" applyFont="1" applyFill="1" applyBorder="1" applyAlignment="1">
      <alignment horizontal="center" vertical="center"/>
    </xf>
    <xf numFmtId="0" fontId="13" fillId="10" borderId="0" xfId="0" applyFont="1" applyFill="1"/>
    <xf numFmtId="0" fontId="7" fillId="3" borderId="1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2" fillId="0" borderId="0" xfId="0" applyFont="1"/>
    <xf numFmtId="0" fontId="15" fillId="15" borderId="0" xfId="0" applyFont="1" applyFill="1"/>
    <xf numFmtId="0" fontId="0" fillId="14" borderId="0" xfId="0" applyFill="1"/>
    <xf numFmtId="0" fontId="17" fillId="0" borderId="1" xfId="0" applyFont="1" applyBorder="1"/>
    <xf numFmtId="0" fontId="17" fillId="0" borderId="32" xfId="0" applyFont="1" applyBorder="1"/>
    <xf numFmtId="0" fontId="17" fillId="0" borderId="33" xfId="0" applyFont="1" applyBorder="1"/>
    <xf numFmtId="0" fontId="17" fillId="0" borderId="34" xfId="0" applyFont="1" applyBorder="1"/>
    <xf numFmtId="0" fontId="17" fillId="0" borderId="35" xfId="0" applyFont="1" applyBorder="1"/>
    <xf numFmtId="0" fontId="17" fillId="0" borderId="36" xfId="0" applyFont="1" applyBorder="1"/>
    <xf numFmtId="0" fontId="17" fillId="0" borderId="37" xfId="0" applyFont="1" applyBorder="1"/>
    <xf numFmtId="0" fontId="17" fillId="0" borderId="38" xfId="0" applyFont="1" applyBorder="1"/>
    <xf numFmtId="0" fontId="17" fillId="0" borderId="39" xfId="0" applyFont="1" applyBorder="1"/>
    <xf numFmtId="0" fontId="14" fillId="13" borderId="29" xfId="0" applyFont="1" applyFill="1" applyBorder="1"/>
    <xf numFmtId="0" fontId="14" fillId="13" borderId="30" xfId="0" applyFont="1" applyFill="1" applyBorder="1"/>
    <xf numFmtId="0" fontId="14" fillId="13" borderId="31" xfId="0" applyFont="1" applyFill="1" applyBorder="1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7" fillId="14" borderId="0" xfId="0" applyFont="1" applyFill="1" applyAlignment="1">
      <alignment horizontal="center" vertical="center" wrapText="1"/>
    </xf>
    <xf numFmtId="1" fontId="0" fillId="0" borderId="0" xfId="0" applyNumberFormat="1"/>
    <xf numFmtId="0" fontId="2" fillId="0" borderId="1" xfId="0" applyFont="1" applyBorder="1" applyAlignment="1">
      <alignment vertical="center" wrapText="1"/>
    </xf>
    <xf numFmtId="0" fontId="16" fillId="15" borderId="41" xfId="0" applyFont="1" applyFill="1" applyBorder="1" applyAlignment="1">
      <alignment horizontal="center" vertical="center" wrapText="1"/>
    </xf>
    <xf numFmtId="1" fontId="2" fillId="0" borderId="40" xfId="0" applyNumberFormat="1" applyFont="1" applyBorder="1" applyAlignment="1">
      <alignment vertical="center" wrapText="1"/>
    </xf>
    <xf numFmtId="0" fontId="2" fillId="0" borderId="44" xfId="0" applyFont="1" applyBorder="1" applyAlignment="1">
      <alignment vertical="center" wrapText="1"/>
    </xf>
    <xf numFmtId="1" fontId="2" fillId="0" borderId="42" xfId="0" applyNumberFormat="1" applyFont="1" applyBorder="1" applyAlignment="1">
      <alignment vertical="center" wrapText="1"/>
    </xf>
    <xf numFmtId="1" fontId="2" fillId="0" borderId="43" xfId="0" applyNumberFormat="1" applyFont="1" applyBorder="1" applyAlignment="1">
      <alignment vertical="center" wrapText="1"/>
    </xf>
    <xf numFmtId="0" fontId="2" fillId="0" borderId="45" xfId="0" applyFont="1" applyBorder="1" applyAlignment="1">
      <alignment vertical="center" wrapText="1"/>
    </xf>
    <xf numFmtId="1" fontId="16" fillId="15" borderId="40" xfId="0" applyNumberFormat="1" applyFont="1" applyFill="1" applyBorder="1" applyAlignment="1">
      <alignment horizontal="center" vertical="center" wrapText="1"/>
    </xf>
    <xf numFmtId="0" fontId="16" fillId="15" borderId="44" xfId="0" applyFont="1" applyFill="1" applyBorder="1" applyAlignment="1">
      <alignment horizontal="center" vertical="center" wrapText="1"/>
    </xf>
    <xf numFmtId="0" fontId="2" fillId="0" borderId="46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5" fillId="0" borderId="7" xfId="0" applyFont="1" applyBorder="1" applyAlignment="1">
      <alignment horizontal="center"/>
    </xf>
    <xf numFmtId="0" fontId="10" fillId="0" borderId="8" xfId="0" applyFont="1" applyBorder="1"/>
    <xf numFmtId="0" fontId="10" fillId="0" borderId="9" xfId="0" applyFont="1" applyBorder="1"/>
    <xf numFmtId="0" fontId="4" fillId="5" borderId="10" xfId="0" applyFont="1" applyFill="1" applyBorder="1" applyAlignment="1">
      <alignment horizontal="center" vertical="center"/>
    </xf>
    <xf numFmtId="0" fontId="10" fillId="0" borderId="15" xfId="0" applyFont="1" applyBorder="1"/>
    <xf numFmtId="0" fontId="12" fillId="5" borderId="10" xfId="0" applyFont="1" applyFill="1" applyBorder="1" applyAlignment="1">
      <alignment horizontal="center" vertical="center"/>
    </xf>
  </cellXfs>
  <cellStyles count="4">
    <cellStyle name="Comma 2" xfId="2" xr:uid="{00000000-0005-0000-0000-000000000000}"/>
    <cellStyle name="Currency 2" xfId="3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2.xml"/><Relationship Id="rId18" Type="http://schemas.openxmlformats.org/officeDocument/2006/relationships/customXml" Target="../ink/ink17.xml"/><Relationship Id="rId26" Type="http://schemas.openxmlformats.org/officeDocument/2006/relationships/customXml" Target="../ink/ink24.xml"/><Relationship Id="rId39" Type="http://schemas.openxmlformats.org/officeDocument/2006/relationships/customXml" Target="../ink/ink35.xml"/><Relationship Id="rId21" Type="http://schemas.openxmlformats.org/officeDocument/2006/relationships/customXml" Target="../ink/ink19.xml"/><Relationship Id="rId34" Type="http://schemas.openxmlformats.org/officeDocument/2006/relationships/customXml" Target="../ink/ink32.xml"/><Relationship Id="rId42" Type="http://schemas.openxmlformats.org/officeDocument/2006/relationships/customXml" Target="../ink/ink38.xml"/><Relationship Id="rId47" Type="http://schemas.openxmlformats.org/officeDocument/2006/relationships/customXml" Target="../ink/ink43.xml"/><Relationship Id="rId50" Type="http://schemas.openxmlformats.org/officeDocument/2006/relationships/customXml" Target="../ink/ink46.xml"/><Relationship Id="rId55" Type="http://schemas.openxmlformats.org/officeDocument/2006/relationships/customXml" Target="../ink/ink51.xml"/><Relationship Id="rId63" Type="http://schemas.openxmlformats.org/officeDocument/2006/relationships/customXml" Target="../ink/ink59.xml"/><Relationship Id="rId7" Type="http://schemas.openxmlformats.org/officeDocument/2006/relationships/customXml" Target="../ink/ink6.xml"/><Relationship Id="rId2" Type="http://schemas.openxmlformats.org/officeDocument/2006/relationships/image" Target="../media/image16.png"/><Relationship Id="rId16" Type="http://schemas.openxmlformats.org/officeDocument/2006/relationships/customXml" Target="../ink/ink15.xml"/><Relationship Id="rId29" Type="http://schemas.openxmlformats.org/officeDocument/2006/relationships/customXml" Target="../ink/ink27.xml"/><Relationship Id="rId11" Type="http://schemas.openxmlformats.org/officeDocument/2006/relationships/customXml" Target="../ink/ink10.xml"/><Relationship Id="rId24" Type="http://schemas.openxmlformats.org/officeDocument/2006/relationships/customXml" Target="../ink/ink22.xml"/><Relationship Id="rId32" Type="http://schemas.openxmlformats.org/officeDocument/2006/relationships/customXml" Target="../ink/ink30.xml"/><Relationship Id="rId37" Type="http://schemas.openxmlformats.org/officeDocument/2006/relationships/customXml" Target="../ink/ink34.xml"/><Relationship Id="rId40" Type="http://schemas.openxmlformats.org/officeDocument/2006/relationships/customXml" Target="../ink/ink36.xml"/><Relationship Id="rId45" Type="http://schemas.openxmlformats.org/officeDocument/2006/relationships/customXml" Target="../ink/ink41.xml"/><Relationship Id="rId53" Type="http://schemas.openxmlformats.org/officeDocument/2006/relationships/customXml" Target="../ink/ink49.xml"/><Relationship Id="rId58" Type="http://schemas.openxmlformats.org/officeDocument/2006/relationships/customXml" Target="../ink/ink54.xml"/><Relationship Id="rId5" Type="http://schemas.openxmlformats.org/officeDocument/2006/relationships/customXml" Target="../ink/ink4.xml"/><Relationship Id="rId61" Type="http://schemas.openxmlformats.org/officeDocument/2006/relationships/customXml" Target="../ink/ink57.xml"/><Relationship Id="rId19" Type="http://schemas.openxmlformats.org/officeDocument/2006/relationships/customXml" Target="../ink/ink18.xml"/><Relationship Id="rId14" Type="http://schemas.openxmlformats.org/officeDocument/2006/relationships/customXml" Target="../ink/ink13.xml"/><Relationship Id="rId22" Type="http://schemas.openxmlformats.org/officeDocument/2006/relationships/customXml" Target="../ink/ink20.xml"/><Relationship Id="rId27" Type="http://schemas.openxmlformats.org/officeDocument/2006/relationships/customXml" Target="../ink/ink25.xml"/><Relationship Id="rId30" Type="http://schemas.openxmlformats.org/officeDocument/2006/relationships/customXml" Target="../ink/ink28.xml"/><Relationship Id="rId35" Type="http://schemas.openxmlformats.org/officeDocument/2006/relationships/customXml" Target="../ink/ink33.xml"/><Relationship Id="rId43" Type="http://schemas.openxmlformats.org/officeDocument/2006/relationships/customXml" Target="../ink/ink39.xml"/><Relationship Id="rId48" Type="http://schemas.openxmlformats.org/officeDocument/2006/relationships/customXml" Target="../ink/ink44.xml"/><Relationship Id="rId56" Type="http://schemas.openxmlformats.org/officeDocument/2006/relationships/customXml" Target="../ink/ink52.xml"/><Relationship Id="rId8" Type="http://schemas.openxmlformats.org/officeDocument/2006/relationships/customXml" Target="../ink/ink7.xml"/><Relationship Id="rId51" Type="http://schemas.openxmlformats.org/officeDocument/2006/relationships/customXml" Target="../ink/ink47.xml"/><Relationship Id="rId3" Type="http://schemas.openxmlformats.org/officeDocument/2006/relationships/customXml" Target="../ink/ink3.xml"/><Relationship Id="rId12" Type="http://schemas.openxmlformats.org/officeDocument/2006/relationships/customXml" Target="../ink/ink11.xml"/><Relationship Id="rId17" Type="http://schemas.openxmlformats.org/officeDocument/2006/relationships/customXml" Target="../ink/ink16.xml"/><Relationship Id="rId25" Type="http://schemas.openxmlformats.org/officeDocument/2006/relationships/customXml" Target="../ink/ink23.xml"/><Relationship Id="rId33" Type="http://schemas.openxmlformats.org/officeDocument/2006/relationships/customXml" Target="../ink/ink31.xml"/><Relationship Id="rId38" Type="http://schemas.openxmlformats.org/officeDocument/2006/relationships/image" Target="../media/image19.png"/><Relationship Id="rId46" Type="http://schemas.openxmlformats.org/officeDocument/2006/relationships/customXml" Target="../ink/ink42.xml"/><Relationship Id="rId59" Type="http://schemas.openxmlformats.org/officeDocument/2006/relationships/customXml" Target="../ink/ink55.xml"/><Relationship Id="rId20" Type="http://schemas.openxmlformats.org/officeDocument/2006/relationships/image" Target="../media/image13.png"/><Relationship Id="rId41" Type="http://schemas.openxmlformats.org/officeDocument/2006/relationships/customXml" Target="../ink/ink37.xml"/><Relationship Id="rId54" Type="http://schemas.openxmlformats.org/officeDocument/2006/relationships/customXml" Target="../ink/ink50.xml"/><Relationship Id="rId62" Type="http://schemas.openxmlformats.org/officeDocument/2006/relationships/customXml" Target="../ink/ink58.xml"/><Relationship Id="rId1" Type="http://schemas.openxmlformats.org/officeDocument/2006/relationships/customXml" Target="../ink/ink2.xml"/><Relationship Id="rId6" Type="http://schemas.openxmlformats.org/officeDocument/2006/relationships/customXml" Target="../ink/ink5.xml"/><Relationship Id="rId15" Type="http://schemas.openxmlformats.org/officeDocument/2006/relationships/customXml" Target="../ink/ink14.xml"/><Relationship Id="rId23" Type="http://schemas.openxmlformats.org/officeDocument/2006/relationships/customXml" Target="../ink/ink21.xml"/><Relationship Id="rId28" Type="http://schemas.openxmlformats.org/officeDocument/2006/relationships/customXml" Target="../ink/ink26.xml"/><Relationship Id="rId36" Type="http://schemas.openxmlformats.org/officeDocument/2006/relationships/image" Target="../media/image15.png"/><Relationship Id="rId49" Type="http://schemas.openxmlformats.org/officeDocument/2006/relationships/customXml" Target="../ink/ink45.xml"/><Relationship Id="rId57" Type="http://schemas.openxmlformats.org/officeDocument/2006/relationships/customXml" Target="../ink/ink53.xml"/><Relationship Id="rId10" Type="http://schemas.openxmlformats.org/officeDocument/2006/relationships/customXml" Target="../ink/ink9.xml"/><Relationship Id="rId31" Type="http://schemas.openxmlformats.org/officeDocument/2006/relationships/customXml" Target="../ink/ink29.xml"/><Relationship Id="rId44" Type="http://schemas.openxmlformats.org/officeDocument/2006/relationships/customXml" Target="../ink/ink40.xml"/><Relationship Id="rId52" Type="http://schemas.openxmlformats.org/officeDocument/2006/relationships/customXml" Target="../ink/ink48.xml"/><Relationship Id="rId60" Type="http://schemas.openxmlformats.org/officeDocument/2006/relationships/customXml" Target="../ink/ink56.xml"/><Relationship Id="rId4" Type="http://schemas.openxmlformats.org/officeDocument/2006/relationships/image" Target="../media/image14.png"/><Relationship Id="rId9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1</xdr:row>
      <xdr:rowOff>9526</xdr:rowOff>
    </xdr:from>
    <xdr:ext cx="4019550" cy="166664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498510" y="198310"/>
          <a:ext cx="4019550" cy="1666646"/>
        </a:xfrm>
        <a:prstGeom prst="rect">
          <a:avLst/>
        </a:prstGeom>
        <a:solidFill>
          <a:srgbClr val="D8E2F3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1) User Interface,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2) Inserting, Deleting - Rows, Columns, Cells.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3) Hide, Unhide, Freeze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4) Copy, Paste, redo, undo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5) Go To, Find and Replace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6) Sorting, Filters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7) Paste and Paste Special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16</xdr:col>
      <xdr:colOff>425451</xdr:colOff>
      <xdr:row>16</xdr:row>
      <xdr:rowOff>86354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2988C9-775D-4423-A08D-0D8474C0B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8675" y="762000"/>
          <a:ext cx="5911851" cy="2372354"/>
        </a:xfrm>
        <a:prstGeom prst="rect">
          <a:avLst/>
        </a:prstGeom>
      </xdr:spPr>
    </xdr:pic>
    <xdr:clientData/>
  </xdr:twoCellAnchor>
  <xdr:twoCellAnchor editAs="oneCell">
    <xdr:from>
      <xdr:col>8</xdr:col>
      <xdr:colOff>294285</xdr:colOff>
      <xdr:row>7</xdr:row>
      <xdr:rowOff>115140</xdr:rowOff>
    </xdr:from>
    <xdr:to>
      <xdr:col>8</xdr:col>
      <xdr:colOff>295365</xdr:colOff>
      <xdr:row>7</xdr:row>
      <xdr:rowOff>134580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C9BF021-C7C7-4B1D-92D9-FD5A242B4A3A}"/>
                </a:ext>
              </a:extLst>
            </xdr14:cNvPr>
            <xdr14:cNvContentPartPr/>
          </xdr14:nvContentPartPr>
          <xdr14:nvPr macro=""/>
          <xdr14:xfrm>
            <a:off x="5542560" y="1448640"/>
            <a:ext cx="1080" cy="19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C9BF021-C7C7-4B1D-92D9-FD5A242B4A3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536440" y="1442520"/>
              <a:ext cx="13320" cy="31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257175</xdr:colOff>
      <xdr:row>3</xdr:row>
      <xdr:rowOff>76200</xdr:rowOff>
    </xdr:from>
    <xdr:ext cx="2628900" cy="1066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4031550" y="3246600"/>
          <a:ext cx="2628900" cy="10668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Functions: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Upper, Lower, Proper, Left, Right, Mid, Len,Trim, Find, Search, Substitute, Replace, Concatenate</a:t>
          </a:r>
          <a:endParaRPr sz="1100"/>
        </a:p>
      </xdr:txBody>
    </xdr:sp>
    <xdr:clientData fLocksWithSheet="0"/>
  </xdr:oneCellAnchor>
  <xdr:twoCellAnchor editAs="oneCell">
    <xdr:from>
      <xdr:col>7</xdr:col>
      <xdr:colOff>303158</xdr:colOff>
      <xdr:row>2</xdr:row>
      <xdr:rowOff>182308</xdr:rowOff>
    </xdr:from>
    <xdr:to>
      <xdr:col>7</xdr:col>
      <xdr:colOff>320348</xdr:colOff>
      <xdr:row>3</xdr:row>
      <xdr:rowOff>3452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906895</xdr:colOff>
      <xdr:row>12</xdr:row>
      <xdr:rowOff>187270</xdr:rowOff>
    </xdr:from>
    <xdr:to>
      <xdr:col>6</xdr:col>
      <xdr:colOff>908440</xdr:colOff>
      <xdr:row>13</xdr:row>
      <xdr:rowOff>4912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3B07F23-6E73-45CD-8D70-DC76C265F96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3B07F23-6E73-45CD-8D70-DC76C265F96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51B8A66-2C4A-4030-A6C5-AE98DC1233F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51B8A66-2C4A-4030-A6C5-AE98DC1233F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F2E274E-071E-4F20-B12B-A95D45D5509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F2E274E-071E-4F20-B12B-A95D45D5509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F535FD51-19EE-4BA1-9615-61F09CA61578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535FD51-19EE-4BA1-9615-61F09CA6157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3B85533E-2CC0-49DB-87E0-4F4E91F6401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B85533E-2CC0-49DB-87E0-4F4E91F6401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32F0127-1919-4510-AD88-E24E98554BD0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32F0127-1919-4510-AD88-E24E98554BD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CC1386F-9CFE-4F87-BC32-88C21ECE71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CC1386F-9CFE-4F87-BC32-88C21ECE71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3CB8BBF-3D3E-4A79-BEC9-166A28DE3E2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3CB8BBF-3D3E-4A79-BEC9-166A28DE3E2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D5E85E2E-9575-422B-B9BB-1F1BD108DA4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5E85E2E-9575-422B-B9BB-1F1BD108DA4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4F5F1794-52DA-4682-B9CD-600B7C97F87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F5F1794-52DA-4682-B9CD-600B7C97F8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7A3C2DF-5B5F-4CD4-9DA6-A0B6A92F8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7A3C2DF-5B5F-4CD4-9DA6-A0B6A92F879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B7A642D-968E-4DCC-91D1-DF63006DB3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B7A642D-968E-4DCC-91D1-DF63006DB3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375545</xdr:colOff>
      <xdr:row>2</xdr:row>
      <xdr:rowOff>165122</xdr:rowOff>
    </xdr:from>
    <xdr:to>
      <xdr:col>8</xdr:col>
      <xdr:colOff>377090</xdr:colOff>
      <xdr:row>2</xdr:row>
      <xdr:rowOff>169292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652B3B0-03B7-A099-5956-E3691594032C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652B3B0-03B7-A099-5956-E3691594032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303158</xdr:colOff>
      <xdr:row>3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FE29F2F3-6301-489B-A4E9-B6ACE47209D0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4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9769302-6623-450B-85FB-25FC0523A35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5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53BB4A2-29EB-41D4-B678-D60ABD3FAE7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6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4CB7ACA1-C0D9-4276-A41B-23CA007342BC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7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6AD9BEA7-B2FD-40F8-8D08-9801083E0A45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8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E1006A4-B2CF-435E-B5A9-7D56ACC88C9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9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F5BFEBEA-75B6-4F68-8BE5-FBD317E20B1A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3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9756C78-CAA3-43AB-B04A-76A9AA571BA1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9756C78-CAA3-43AB-B04A-76A9AA571BA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4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329B567-239A-4863-BC4B-CCB606644555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329B567-239A-4863-BC4B-CCB60664455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5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D09D4C3-AB53-430C-A99E-829C9A8ED75F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D09D4C3-AB53-430C-A99E-829C9A8ED75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6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DCCC6D3-D02F-43B1-B98C-2C3FC1CCF1A7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DCCC6D3-D02F-43B1-B98C-2C3FC1CCF1A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7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DB504588-E83E-48DE-96E5-D49A9AD5D3D4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B504588-E83E-48DE-96E5-D49A9AD5D3D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8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F6F3449C-1B6A-4DB2-A921-46A86D7B91E2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6F3449C-1B6A-4DB2-A921-46A86D7B91E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9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55F4AF9A-C7EE-4FA6-9887-43C43D4795D0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55F4AF9A-C7EE-4FA6-9887-43C43D4795D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871545</xdr:colOff>
      <xdr:row>13</xdr:row>
      <xdr:rowOff>78124</xdr:rowOff>
    </xdr:from>
    <xdr:to>
      <xdr:col>6</xdr:col>
      <xdr:colOff>892695</xdr:colOff>
      <xdr:row>13</xdr:row>
      <xdr:rowOff>133939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DF481A5B-E6E3-9664-FB0E-A8FC90F3906E}"/>
                </a:ext>
              </a:extLst>
            </xdr14:cNvPr>
            <xdr14:cNvContentPartPr/>
          </xdr14:nvContentPartPr>
          <xdr14:nvPr macro=""/>
          <xdr14:xfrm>
            <a:off x="9474771" y="2628366"/>
            <a:ext cx="9720" cy="424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F481A5B-E6E3-9664-FB0E-A8FC90F3906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468651" y="2622246"/>
              <a:ext cx="219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1376321</xdr:colOff>
      <xdr:row>14</xdr:row>
      <xdr:rowOff>146642</xdr:rowOff>
    </xdr:from>
    <xdr:to>
      <xdr:col>4</xdr:col>
      <xdr:colOff>1388366</xdr:colOff>
      <xdr:row>14</xdr:row>
      <xdr:rowOff>148442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311E87F-E9F7-FE13-6485-18BE3BCE2226}"/>
                </a:ext>
              </a:extLst>
            </xdr14:cNvPr>
            <xdr14:cNvContentPartPr/>
          </xdr14:nvContentPartPr>
          <xdr14:nvPr macro=""/>
          <xdr14:xfrm>
            <a:off x="8056959" y="2826780"/>
            <a:ext cx="2520" cy="18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311E87F-E9F7-FE13-6485-18BE3BCE222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047959" y="2817780"/>
              <a:ext cx="2016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186858</xdr:colOff>
      <xdr:row>14</xdr:row>
      <xdr:rowOff>89402</xdr:rowOff>
    </xdr:from>
    <xdr:to>
      <xdr:col>5</xdr:col>
      <xdr:colOff>187218</xdr:colOff>
      <xdr:row>14</xdr:row>
      <xdr:rowOff>97382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0D295DE8-3DE1-1B52-302D-CA1FB4E85F06}"/>
                </a:ext>
              </a:extLst>
            </xdr14:cNvPr>
            <xdr14:cNvContentPartPr/>
          </xdr14:nvContentPartPr>
          <xdr14:nvPr macro=""/>
          <xdr14:xfrm>
            <a:off x="8437479" y="276954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0D295DE8-3DE1-1B52-302D-CA1FB4E85F0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428479" y="27605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303158</xdr:colOff>
      <xdr:row>3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79ADFEDC-5C2B-4DD6-ADEC-7F2071E4085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4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3DD4835C-F131-4CB4-B519-C95A2FB378A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5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D3C032E6-B5E1-44E4-833D-153352F7D9E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6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E068EB75-3AA7-4689-ABD2-788A634F075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7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B4CAA73-C9CB-490A-B7E9-C9DA6C24114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8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EEB713C2-0CFA-4DF2-B890-95081DB6328E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9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EB9F2773-86A1-4D86-8F19-A50A7278BEE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4424EF28-6F40-4EB1-A855-165BDC795A2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10DD10D0-E69E-4173-8FA0-68E6BC3C316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144BBC38-7CB6-49C6-B569-CEAFE6E5A35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D0733FF7-1EF0-4B4A-849B-2EC7DA516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0AC3FE80-BBFD-451C-9377-B494F2A71F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B86C4F4C-175F-462C-9162-DFBA557F1DE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BFF70D3C-BF45-462B-9F1F-0FAF37FF79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F0395C96-BE67-4F30-AF87-FC15FD35B3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6AEB49C7-BF63-4761-9477-8E813BB61DB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38026366-4EDA-4AD5-AD23-4AC5D91DB9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B452D58D-FB24-4B5A-B9BD-9955032012F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0A3E942B-5F5E-4697-9517-59AECDD6B56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A3735DD8-0F7D-48A8-8C90-42224BB047A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7432AB5-F622-4FCD-A51D-C8EADAD89559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B4F18A2D-2D4B-4ADF-812A-C9EF485EC45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7DA9DE1B-D09A-48F4-B5D1-DA7D80A6341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0E680498-A8C7-4777-9F2C-B7F4A3CA520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247650</xdr:colOff>
      <xdr:row>0</xdr:row>
      <xdr:rowOff>523875</xdr:rowOff>
    </xdr:from>
    <xdr:ext cx="2895600" cy="838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3902963" y="3360900"/>
          <a:ext cx="2886075" cy="8382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Comparitive Operators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0070C0"/>
              </a:solidFill>
              <a:latin typeface="Calibri"/>
              <a:ea typeface="Calibri"/>
              <a:cs typeface="Calibri"/>
              <a:sym typeface="Calibri"/>
            </a:rPr>
            <a:t>=, &gt;,&lt;, &gt;=, &lt;=, &lt;&gt;</a:t>
          </a:r>
          <a:endParaRPr sz="2000">
            <a:solidFill>
              <a:srgbClr val="0070C0"/>
            </a:solidFill>
          </a:endParaRPr>
        </a:p>
      </xdr:txBody>
    </xdr:sp>
    <xdr:clientData fLocksWithSheet="0"/>
  </xdr:oneCellAnchor>
  <xdr:oneCellAnchor>
    <xdr:from>
      <xdr:col>11</xdr:col>
      <xdr:colOff>381000</xdr:colOff>
      <xdr:row>5</xdr:row>
      <xdr:rowOff>57150</xdr:rowOff>
    </xdr:from>
    <xdr:ext cx="2952750" cy="12477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3874388" y="3160875"/>
          <a:ext cx="2943225" cy="12382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1) Insert serial number column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2) Use comparitive operators and fill all the columns with boolean values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3) Highlight all the true values using conditional formating</a:t>
          </a:r>
          <a:endParaRPr sz="1100"/>
        </a:p>
      </xdr:txBody>
    </xdr:sp>
    <xdr:clientData fLocksWithSheet="0"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25:25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9514,'0'0'6009,"2"11"-5881,-2-4-128,0 5-136,0 1-1440,0-2-5682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45:05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0 3729,'0'0'7705,"-32"9"-7705,23-5-920,3-2-2032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2:53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7:19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29:33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0 2353,'0'0'32,"-58"91"-1825,64-28 1201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8:20.4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 0,'32'-4'30599,"-54"4"-30819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8:20.8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0 632,'0'0'2441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6:M1000"/>
  <sheetViews>
    <sheetView zoomScale="111" workbookViewId="0">
      <selection activeCell="A11" sqref="A11"/>
    </sheetView>
  </sheetViews>
  <sheetFormatPr defaultColWidth="14.44140625" defaultRowHeight="15" customHeight="1"/>
  <cols>
    <col min="1" max="1" width="25" customWidth="1"/>
    <col min="2" max="2" width="14.5546875" customWidth="1"/>
    <col min="3" max="3" width="17.109375" customWidth="1"/>
    <col min="4" max="4" width="8.109375" customWidth="1"/>
    <col min="5" max="5" width="9.33203125" customWidth="1"/>
    <col min="6" max="26" width="15.6640625" customWidth="1"/>
  </cols>
  <sheetData>
    <row r="6" spans="3:13" ht="14.4">
      <c r="C6" s="1"/>
    </row>
    <row r="12" spans="3:13" ht="14.4">
      <c r="J12" s="2"/>
      <c r="M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6EE853-6E53-4973-9818-E4AB447301FE}">
      <selection activeCell="G22" sqref="G22"/>
      <pageMargins left="0.7" right="0.7" top="0.75" bottom="0.75" header="0" footer="0"/>
      <pageSetup paperSize="9" orientation="portrait"/>
    </customSheetView>
    <customSheetView guid="{06BAD8CE-1DBC-44C9-B316-806B0B5B5BBC}">
      <selection activeCell="G22" sqref="G22"/>
      <pageMargins left="0.7" right="0.7" top="0.75" bottom="0.75" header="0" footer="0"/>
      <pageSetup paperSize="9" orientation="portrait"/>
    </customSheetView>
  </customSheetView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B10"/>
  <sheetViews>
    <sheetView zoomScale="92" workbookViewId="0">
      <selection activeCell="D24" sqref="D24"/>
    </sheetView>
  </sheetViews>
  <sheetFormatPr defaultRowHeight="14.4"/>
  <cols>
    <col min="1" max="1" width="14.6640625" customWidth="1"/>
  </cols>
  <sheetData>
    <row r="1" spans="1:2">
      <c r="A1" s="47" t="s">
        <v>79</v>
      </c>
      <c r="B1" s="46" t="s">
        <v>80</v>
      </c>
    </row>
    <row r="2" spans="1:2">
      <c r="A2" s="47" t="s">
        <v>81</v>
      </c>
      <c r="B2" s="46" t="s">
        <v>82</v>
      </c>
    </row>
    <row r="3" spans="1:2">
      <c r="A3" s="47" t="s">
        <v>83</v>
      </c>
      <c r="B3" s="46" t="s">
        <v>84</v>
      </c>
    </row>
    <row r="4" spans="1:2">
      <c r="B4" s="46"/>
    </row>
    <row r="5" spans="1:2">
      <c r="A5" s="48" t="s">
        <v>85</v>
      </c>
      <c r="B5" s="46"/>
    </row>
    <row r="6" spans="1:2">
      <c r="A6" s="48" t="s">
        <v>86</v>
      </c>
      <c r="B6" s="46"/>
    </row>
    <row r="7" spans="1:2">
      <c r="B7" s="46"/>
    </row>
    <row r="8" spans="1:2">
      <c r="B8" s="46"/>
    </row>
    <row r="9" spans="1:2">
      <c r="A9" s="48" t="s">
        <v>87</v>
      </c>
      <c r="B9" s="46" t="s">
        <v>88</v>
      </c>
    </row>
    <row r="10" spans="1:2">
      <c r="A10" s="48" t="s">
        <v>89</v>
      </c>
      <c r="B10" s="46" t="s">
        <v>90</v>
      </c>
    </row>
  </sheetData>
  <customSheetViews>
    <customSheetView guid="{586EE853-6E53-4973-9818-E4AB447301FE}">
      <selection activeCell="F7" sqref="F7"/>
      <pageMargins left="0.7" right="0.7" top="0.75" bottom="0.75" header="0.3" footer="0.3"/>
    </customSheetView>
    <customSheetView guid="{06BAD8CE-1DBC-44C9-B316-806B0B5B5BBC}">
      <selection activeCell="F7" sqref="F7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2:M1000"/>
  <sheetViews>
    <sheetView zoomScale="110" zoomScaleNormal="110" workbookViewId="0">
      <selection activeCell="C11" sqref="C11"/>
    </sheetView>
  </sheetViews>
  <sheetFormatPr defaultColWidth="14.44140625" defaultRowHeight="15" customHeight="1"/>
  <cols>
    <col min="1" max="1" width="8.6640625" customWidth="1"/>
    <col min="2" max="2" width="35" bestFit="1" customWidth="1"/>
    <col min="3" max="3" width="36.5546875" customWidth="1"/>
    <col min="4" max="4" width="17.33203125" customWidth="1"/>
    <col min="5" max="5" width="22.88671875" customWidth="1"/>
    <col min="6" max="6" width="27" customWidth="1"/>
    <col min="7" max="7" width="22" bestFit="1" customWidth="1"/>
    <col min="8" max="8" width="13.44140625" customWidth="1"/>
    <col min="9" max="9" width="10.88671875" customWidth="1"/>
    <col min="10" max="12" width="8.6640625" customWidth="1"/>
    <col min="13" max="13" width="43.21875" customWidth="1"/>
    <col min="14" max="26" width="8.6640625" customWidth="1"/>
  </cols>
  <sheetData>
    <row r="2" spans="2:9" ht="18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</row>
    <row r="3" spans="2:9" ht="14.4">
      <c r="B3" s="6" t="s">
        <v>142</v>
      </c>
      <c r="C3" s="7"/>
      <c r="D3" s="7"/>
      <c r="E3" s="7"/>
      <c r="F3" s="7"/>
      <c r="G3" s="7"/>
      <c r="H3" s="7"/>
      <c r="I3" s="8"/>
    </row>
    <row r="4" spans="2:9" ht="14.4">
      <c r="B4" s="6" t="s">
        <v>132</v>
      </c>
      <c r="C4" s="7"/>
      <c r="D4" s="7"/>
      <c r="E4" s="7"/>
      <c r="F4" s="7"/>
      <c r="G4" s="7"/>
      <c r="H4" s="7"/>
      <c r="I4" s="8"/>
    </row>
    <row r="5" spans="2:9" ht="14.4">
      <c r="B5" s="6" t="s">
        <v>143</v>
      </c>
      <c r="C5" s="7"/>
      <c r="D5" s="7"/>
      <c r="E5" s="7"/>
      <c r="F5" s="7"/>
      <c r="G5" s="7"/>
      <c r="H5" s="7"/>
      <c r="I5" s="8"/>
    </row>
    <row r="6" spans="2:9" ht="14.4">
      <c r="B6" s="6" t="s">
        <v>144</v>
      </c>
      <c r="C6" s="7"/>
      <c r="D6" s="7"/>
      <c r="E6" s="7"/>
      <c r="F6" s="7"/>
      <c r="G6" s="7"/>
      <c r="H6" s="7"/>
      <c r="I6" s="8"/>
    </row>
    <row r="7" spans="2:9" ht="14.4">
      <c r="B7" s="6" t="s">
        <v>145</v>
      </c>
      <c r="C7" s="7"/>
      <c r="D7" s="7"/>
      <c r="E7" s="7"/>
      <c r="F7" s="7"/>
      <c r="G7" s="7"/>
      <c r="H7" s="7"/>
      <c r="I7" s="8"/>
    </row>
    <row r="8" spans="2:9" ht="14.4">
      <c r="B8" s="6" t="s">
        <v>133</v>
      </c>
      <c r="C8" s="7"/>
      <c r="D8" s="7"/>
      <c r="E8" s="7"/>
      <c r="F8" s="7"/>
      <c r="G8" s="7"/>
      <c r="H8" s="7"/>
      <c r="I8" s="8"/>
    </row>
    <row r="9" spans="2:9" ht="14.4">
      <c r="B9" s="6" t="s">
        <v>146</v>
      </c>
      <c r="C9" s="7"/>
      <c r="D9" s="7"/>
      <c r="E9" s="7"/>
      <c r="F9" s="7"/>
      <c r="G9" s="7"/>
      <c r="H9" s="7"/>
      <c r="I9" s="8"/>
    </row>
    <row r="10" spans="2:9" ht="14.4">
      <c r="B10" s="6" t="s">
        <v>134</v>
      </c>
      <c r="C10" s="7"/>
      <c r="D10" s="7"/>
      <c r="E10" s="7"/>
      <c r="F10" s="7"/>
      <c r="G10" s="7"/>
      <c r="H10" s="7"/>
      <c r="I10" s="8"/>
    </row>
    <row r="12" spans="2:9" ht="18">
      <c r="B12" s="5" t="s">
        <v>0</v>
      </c>
      <c r="C12" s="5" t="s">
        <v>16</v>
      </c>
      <c r="D12" s="5" t="s">
        <v>128</v>
      </c>
      <c r="E12" s="5" t="s">
        <v>17</v>
      </c>
      <c r="F12" s="5" t="s">
        <v>18</v>
      </c>
      <c r="G12" s="5" t="s">
        <v>19</v>
      </c>
      <c r="H12" s="59" t="s">
        <v>129</v>
      </c>
      <c r="I12" s="59" t="s">
        <v>130</v>
      </c>
    </row>
    <row r="13" spans="2:9" ht="14.4">
      <c r="B13" s="6" t="s">
        <v>135</v>
      </c>
      <c r="C13" s="7"/>
      <c r="D13" s="7"/>
      <c r="E13" s="7"/>
      <c r="F13" s="7"/>
      <c r="G13" s="7"/>
    </row>
    <row r="14" spans="2:9" ht="14.4">
      <c r="B14" s="6" t="s">
        <v>136</v>
      </c>
      <c r="C14" s="7"/>
      <c r="D14" s="7"/>
      <c r="E14" s="7"/>
      <c r="F14" s="7"/>
      <c r="G14" s="7"/>
    </row>
    <row r="15" spans="2:9" ht="14.4">
      <c r="B15" s="6" t="s">
        <v>137</v>
      </c>
      <c r="C15" s="7"/>
      <c r="D15" s="7"/>
      <c r="E15" s="7"/>
      <c r="F15" s="7"/>
      <c r="G15" s="7"/>
    </row>
    <row r="16" spans="2:9" ht="28.8">
      <c r="B16" s="60" t="s">
        <v>138</v>
      </c>
      <c r="C16" s="7"/>
      <c r="D16" s="7"/>
      <c r="E16" s="7"/>
      <c r="F16" s="7"/>
      <c r="G16" s="7"/>
    </row>
    <row r="17" spans="2:13" ht="14.4">
      <c r="B17" s="6" t="s">
        <v>139</v>
      </c>
      <c r="C17" s="7"/>
      <c r="D17" s="7"/>
      <c r="E17" s="7"/>
      <c r="F17" s="7"/>
      <c r="G17" s="7"/>
    </row>
    <row r="18" spans="2:13" ht="14.4">
      <c r="B18" s="6" t="s">
        <v>140</v>
      </c>
      <c r="C18" s="7"/>
      <c r="D18" s="7"/>
      <c r="E18" s="7"/>
      <c r="F18" s="7"/>
      <c r="G18" s="7"/>
    </row>
    <row r="19" spans="2:13" ht="14.4">
      <c r="B19" s="6" t="s">
        <v>141</v>
      </c>
      <c r="C19" s="7"/>
      <c r="D19" s="7"/>
      <c r="E19" s="7"/>
      <c r="F19" s="7"/>
      <c r="G19" s="7"/>
    </row>
    <row r="20" spans="2:13" ht="14.4">
      <c r="B20" s="6" t="s">
        <v>134</v>
      </c>
      <c r="C20" s="7"/>
      <c r="D20" s="7"/>
      <c r="E20" s="7"/>
      <c r="F20" s="7"/>
      <c r="G20" s="7"/>
      <c r="M20">
        <f>FIND("D","Deepraj")</f>
        <v>1</v>
      </c>
    </row>
    <row r="21" spans="2:13" ht="15.75" customHeight="1">
      <c r="C21" s="7"/>
      <c r="D21" s="7"/>
      <c r="E21" s="7"/>
      <c r="I21" t="s">
        <v>126</v>
      </c>
    </row>
    <row r="22" spans="2:13" ht="15.75" customHeight="1">
      <c r="B22" s="5" t="s">
        <v>20</v>
      </c>
      <c r="C22" s="5" t="s">
        <v>21</v>
      </c>
      <c r="D22" s="5" t="s">
        <v>22</v>
      </c>
      <c r="E22" s="5" t="s">
        <v>23</v>
      </c>
      <c r="F22" s="5" t="s">
        <v>127</v>
      </c>
    </row>
    <row r="23" spans="2:13" ht="15.75" customHeight="1">
      <c r="B23" s="57" t="s">
        <v>8</v>
      </c>
      <c r="C23" s="7"/>
      <c r="D23" s="7"/>
      <c r="E23" s="7"/>
      <c r="F23" s="7"/>
      <c r="G23" s="54"/>
    </row>
    <row r="24" spans="2:13" ht="15.75" customHeight="1">
      <c r="B24" s="6" t="s">
        <v>9</v>
      </c>
      <c r="C24" s="7"/>
      <c r="D24" s="7"/>
      <c r="E24" s="7"/>
      <c r="F24" s="7"/>
      <c r="G24" s="55"/>
    </row>
    <row r="25" spans="2:13" ht="15.75" customHeight="1">
      <c r="B25" s="6" t="s">
        <v>10</v>
      </c>
      <c r="C25" s="7"/>
      <c r="D25" s="7"/>
      <c r="E25" s="7"/>
      <c r="F25" s="7"/>
      <c r="G25" s="55"/>
    </row>
    <row r="26" spans="2:13" ht="15.75" customHeight="1">
      <c r="B26" s="6" t="s">
        <v>11</v>
      </c>
      <c r="C26" s="7"/>
      <c r="D26" s="7"/>
      <c r="E26" s="7"/>
      <c r="F26" s="7"/>
      <c r="G26" s="55"/>
    </row>
    <row r="27" spans="2:13" ht="15.75" customHeight="1">
      <c r="B27" s="6" t="s">
        <v>12</v>
      </c>
      <c r="C27" s="7"/>
      <c r="D27" s="7"/>
      <c r="E27" s="7"/>
      <c r="F27" s="7"/>
      <c r="G27" s="55"/>
    </row>
    <row r="28" spans="2:13" ht="15.75" customHeight="1">
      <c r="B28" s="6" t="s">
        <v>13</v>
      </c>
      <c r="C28" s="7"/>
      <c r="D28" s="7"/>
      <c r="E28" s="7"/>
      <c r="F28" s="7"/>
      <c r="G28" s="55"/>
    </row>
    <row r="29" spans="2:13" ht="15.75" customHeight="1">
      <c r="B29" s="6" t="s">
        <v>14</v>
      </c>
      <c r="C29" s="7"/>
      <c r="D29" s="7"/>
      <c r="E29" s="7"/>
      <c r="F29" s="7"/>
      <c r="G29" s="55"/>
    </row>
    <row r="30" spans="2:13" ht="15.75" customHeight="1">
      <c r="B30" s="6" t="s">
        <v>15</v>
      </c>
      <c r="C30" s="7"/>
      <c r="D30" s="7"/>
      <c r="E30" s="7"/>
      <c r="F30" s="7"/>
      <c r="G30" s="55"/>
    </row>
    <row r="31" spans="2:13" ht="15.75" customHeight="1"/>
    <row r="32" spans="2:13" ht="15.75" customHeight="1"/>
    <row r="33" spans="2:6" ht="15.75" customHeight="1"/>
    <row r="34" spans="2:6" ht="15.75" customHeight="1"/>
    <row r="35" spans="2:6" ht="15.75" customHeight="1"/>
    <row r="36" spans="2:6" ht="15.75" customHeight="1"/>
    <row r="37" spans="2:6" ht="15.75" customHeight="1"/>
    <row r="38" spans="2:6" ht="15.75" customHeight="1"/>
    <row r="39" spans="2:6" ht="15.75" customHeight="1">
      <c r="B39" s="9" t="s">
        <v>20</v>
      </c>
      <c r="C39" s="10" t="s">
        <v>21</v>
      </c>
      <c r="D39" s="10" t="s">
        <v>22</v>
      </c>
      <c r="E39" s="55"/>
      <c r="F39" s="55"/>
    </row>
    <row r="40" spans="2:6" ht="15.75" customHeight="1">
      <c r="B40" s="7" t="s">
        <v>24</v>
      </c>
      <c r="C40" s="7" t="str">
        <f>LEFT(B40, FIND("-", B40) - 1)</f>
        <v>Sharukh</v>
      </c>
      <c r="D40" s="7" t="str">
        <f>RIGHT(B40, LEN(B40) - FIND("-", B40))</f>
        <v>Khan</v>
      </c>
      <c r="E40" s="55"/>
      <c r="F40" s="55"/>
    </row>
    <row r="41" spans="2:6" ht="15.75" customHeight="1">
      <c r="B41" s="7" t="s">
        <v>25</v>
      </c>
      <c r="C41" s="7" t="str">
        <f t="shared" ref="C41:C47" si="0">LEFT(B41, FIND("-", B41) - 1)</f>
        <v>Salman</v>
      </c>
      <c r="D41" s="7" t="str">
        <f t="shared" ref="D41:D47" si="1">RIGHT(B41, LEN(B41) - FIND("-", B41))</f>
        <v>Khan</v>
      </c>
      <c r="E41" s="55"/>
      <c r="F41" s="55"/>
    </row>
    <row r="42" spans="2:6" ht="15.75" customHeight="1">
      <c r="B42" s="7" t="s">
        <v>26</v>
      </c>
      <c r="C42" s="7" t="str">
        <f t="shared" si="0"/>
        <v>Ananya</v>
      </c>
      <c r="D42" s="7" t="str">
        <f t="shared" si="1"/>
        <v>Pandey</v>
      </c>
      <c r="E42" s="55"/>
      <c r="F42" s="55"/>
    </row>
    <row r="43" spans="2:6" ht="15.75" customHeight="1">
      <c r="B43" s="7" t="s">
        <v>27</v>
      </c>
      <c r="C43" s="7" t="str">
        <f t="shared" si="0"/>
        <v>Happy</v>
      </c>
      <c r="D43" s="7" t="str">
        <f t="shared" si="1"/>
        <v>Singh</v>
      </c>
      <c r="E43" s="55"/>
      <c r="F43" s="55"/>
    </row>
    <row r="44" spans="2:6" ht="15.75" customHeight="1">
      <c r="B44" s="7" t="s">
        <v>28</v>
      </c>
      <c r="C44" s="7" t="str">
        <f t="shared" si="0"/>
        <v>Akshay</v>
      </c>
      <c r="D44" s="7" t="str">
        <f t="shared" si="1"/>
        <v>Kumar</v>
      </c>
      <c r="E44" s="55"/>
      <c r="F44" s="55"/>
    </row>
    <row r="45" spans="2:6" ht="15.75" customHeight="1">
      <c r="B45" s="7" t="s">
        <v>29</v>
      </c>
      <c r="C45" s="7" t="str">
        <f t="shared" si="0"/>
        <v>Amir</v>
      </c>
      <c r="D45" s="7" t="str">
        <f t="shared" si="1"/>
        <v>Khan</v>
      </c>
      <c r="E45" s="55"/>
      <c r="F45" s="55"/>
    </row>
    <row r="46" spans="2:6" ht="15.75" customHeight="1">
      <c r="B46" s="7" t="s">
        <v>30</v>
      </c>
      <c r="C46" s="7" t="str">
        <f t="shared" si="0"/>
        <v>Aishwarya</v>
      </c>
      <c r="D46" s="7" t="str">
        <f t="shared" si="1"/>
        <v>Rai</v>
      </c>
      <c r="E46" s="55"/>
      <c r="F46" s="55"/>
    </row>
    <row r="47" spans="2:6" ht="15.75" customHeight="1">
      <c r="B47" s="7" t="s">
        <v>31</v>
      </c>
      <c r="C47" s="7" t="str">
        <f t="shared" si="0"/>
        <v>Madhuri</v>
      </c>
      <c r="D47" s="7" t="str">
        <f t="shared" si="1"/>
        <v>Dixit</v>
      </c>
      <c r="E47" s="55"/>
      <c r="F47" s="55"/>
    </row>
    <row r="48" spans="2:6" ht="15.75" customHeight="1"/>
    <row r="49" spans="2:7" ht="15.75" customHeight="1"/>
    <row r="50" spans="2:7" ht="15.75" customHeight="1">
      <c r="B50" s="9" t="s">
        <v>20</v>
      </c>
      <c r="C50" s="10" t="s">
        <v>21</v>
      </c>
      <c r="D50" s="10" t="s">
        <v>22</v>
      </c>
    </row>
    <row r="51" spans="2:7" ht="15.75" customHeight="1">
      <c r="B51" s="7" t="s">
        <v>32</v>
      </c>
      <c r="C51" s="7"/>
      <c r="D51" s="7"/>
    </row>
    <row r="52" spans="2:7" ht="15.75" customHeight="1">
      <c r="B52" s="7" t="s">
        <v>33</v>
      </c>
      <c r="C52" s="7"/>
      <c r="D52" s="7"/>
    </row>
    <row r="53" spans="2:7" ht="15.75" customHeight="1">
      <c r="B53" s="7" t="s">
        <v>34</v>
      </c>
      <c r="C53" s="7"/>
      <c r="D53" s="7"/>
    </row>
    <row r="54" spans="2:7" ht="15.75" customHeight="1">
      <c r="B54" s="7" t="s">
        <v>35</v>
      </c>
      <c r="C54" s="7"/>
      <c r="D54" s="7"/>
    </row>
    <row r="55" spans="2:7" ht="15.75" customHeight="1">
      <c r="B55" s="7" t="s">
        <v>36</v>
      </c>
      <c r="C55" s="7"/>
      <c r="D55" s="7"/>
    </row>
    <row r="56" spans="2:7" ht="15.75" customHeight="1">
      <c r="B56" s="7" t="s">
        <v>37</v>
      </c>
      <c r="C56" s="7"/>
      <c r="D56" s="7"/>
      <c r="G56" s="7" t="s">
        <v>24</v>
      </c>
    </row>
    <row r="57" spans="2:7" ht="15.75" customHeight="1">
      <c r="B57" s="7" t="s">
        <v>38</v>
      </c>
      <c r="C57" s="7"/>
      <c r="D57" s="7"/>
      <c r="G57" s="7" t="s">
        <v>40</v>
      </c>
    </row>
    <row r="58" spans="2:7" ht="15.75" customHeight="1">
      <c r="B58" s="7" t="s">
        <v>39</v>
      </c>
      <c r="C58" s="7"/>
      <c r="D58" s="7"/>
      <c r="G58" s="7" t="s">
        <v>32</v>
      </c>
    </row>
    <row r="59" spans="2:7" ht="15.75" customHeight="1"/>
    <row r="60" spans="2:7" ht="15.75" customHeight="1"/>
    <row r="61" spans="2:7" ht="15.75" customHeight="1">
      <c r="B61" s="9" t="s">
        <v>20</v>
      </c>
      <c r="C61" s="10" t="s">
        <v>21</v>
      </c>
      <c r="D61" s="10" t="s">
        <v>22</v>
      </c>
    </row>
    <row r="62" spans="2:7" ht="15.75" customHeight="1">
      <c r="B62" s="7" t="s">
        <v>40</v>
      </c>
      <c r="C62" s="7"/>
      <c r="D62" s="7"/>
    </row>
    <row r="63" spans="2:7" ht="15.75" customHeight="1">
      <c r="B63" s="7" t="s">
        <v>41</v>
      </c>
      <c r="C63" s="7"/>
      <c r="D63" s="7"/>
    </row>
    <row r="64" spans="2:7" ht="15.75" customHeight="1">
      <c r="B64" s="7" t="s">
        <v>42</v>
      </c>
      <c r="C64" s="7"/>
      <c r="D64" s="7"/>
    </row>
    <row r="65" spans="2:4" ht="15.75" customHeight="1">
      <c r="B65" s="7" t="s">
        <v>43</v>
      </c>
      <c r="C65" s="7"/>
      <c r="D65" s="7"/>
    </row>
    <row r="66" spans="2:4" ht="15.75" customHeight="1">
      <c r="B66" s="7" t="s">
        <v>44</v>
      </c>
      <c r="C66" s="7"/>
      <c r="D66" s="7"/>
    </row>
    <row r="67" spans="2:4" ht="15.75" customHeight="1">
      <c r="B67" s="7" t="s">
        <v>45</v>
      </c>
      <c r="C67" s="7"/>
      <c r="D67" s="7"/>
    </row>
    <row r="68" spans="2:4" ht="15.75" customHeight="1">
      <c r="B68" s="7" t="s">
        <v>46</v>
      </c>
      <c r="C68" s="7"/>
      <c r="D68" s="7"/>
    </row>
    <row r="69" spans="2:4" ht="15.75" customHeight="1">
      <c r="B69" s="7" t="s">
        <v>47</v>
      </c>
      <c r="C69" s="7"/>
      <c r="D69" s="7"/>
    </row>
    <row r="70" spans="2:4" ht="15.75" customHeight="1"/>
    <row r="71" spans="2:4" ht="15.75" customHeight="1"/>
    <row r="72" spans="2:4" ht="15.75" customHeight="1"/>
    <row r="73" spans="2:4" ht="15.75" customHeight="1"/>
    <row r="74" spans="2:4" ht="15.75" customHeight="1"/>
    <row r="75" spans="2:4" ht="15.75" customHeight="1"/>
    <row r="76" spans="2:4" ht="15.75" customHeight="1"/>
    <row r="77" spans="2:4" ht="15.75" customHeight="1"/>
    <row r="78" spans="2:4" ht="15.75" customHeight="1"/>
    <row r="79" spans="2:4" ht="15.75" customHeight="1"/>
    <row r="80" spans="2: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6EE853-6E53-4973-9818-E4AB447301FE}" scale="116" topLeftCell="A24">
      <selection activeCell="E33" sqref="E33"/>
      <pageMargins left="0.7" right="0.7" top="0.75" bottom="0.75" header="0" footer="0"/>
      <pageSetup orientation="landscape"/>
    </customSheetView>
    <customSheetView guid="{06BAD8CE-1DBC-44C9-B316-806B0B5B5BBC}" scale="116" topLeftCell="A24">
      <selection activeCell="E33" sqref="E33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topLeftCell="AB1" workbookViewId="0">
      <pane ySplit="1" topLeftCell="A3" activePane="bottomLeft" state="frozen"/>
      <selection pane="bottomLeft" activeCell="E28" sqref="E28"/>
    </sheetView>
  </sheetViews>
  <sheetFormatPr defaultRowHeight="14.4"/>
  <cols>
    <col min="1" max="1" width="9.6640625" style="53" customWidth="1"/>
    <col min="2" max="2" width="18.44140625" style="53" bestFit="1" customWidth="1"/>
    <col min="3" max="3" width="13.33203125" style="53" customWidth="1"/>
    <col min="4" max="4" width="11.21875" style="53" customWidth="1"/>
    <col min="5" max="5" width="10.21875" style="53" customWidth="1"/>
    <col min="6" max="6" width="8.77734375" style="53"/>
  </cols>
  <sheetData>
    <row r="1" spans="1:6" ht="15.6">
      <c r="A1" s="62" t="s">
        <v>66</v>
      </c>
      <c r="B1" s="62" t="s">
        <v>147</v>
      </c>
      <c r="C1" s="62" t="s">
        <v>78</v>
      </c>
      <c r="D1" s="62" t="s">
        <v>50</v>
      </c>
      <c r="E1" s="62" t="s">
        <v>158</v>
      </c>
      <c r="F1" s="62" t="s">
        <v>60</v>
      </c>
    </row>
    <row r="2" spans="1:6">
      <c r="A2" s="63">
        <v>1001</v>
      </c>
      <c r="B2" s="63" t="s">
        <v>148</v>
      </c>
      <c r="C2" s="63" t="s">
        <v>159</v>
      </c>
      <c r="D2" s="63">
        <v>14.95</v>
      </c>
      <c r="E2" s="63">
        <v>7.48</v>
      </c>
      <c r="F2" s="63">
        <v>2</v>
      </c>
    </row>
    <row r="3" spans="1:6">
      <c r="A3" s="63">
        <v>1002</v>
      </c>
      <c r="B3" s="63" t="s">
        <v>149</v>
      </c>
      <c r="C3" s="63" t="s">
        <v>160</v>
      </c>
      <c r="D3" s="63">
        <v>1700</v>
      </c>
      <c r="E3" s="63">
        <v>561</v>
      </c>
      <c r="F3" s="63">
        <v>1</v>
      </c>
    </row>
    <row r="4" spans="1:6">
      <c r="A4" s="63">
        <v>1003</v>
      </c>
      <c r="B4" s="63" t="s">
        <v>150</v>
      </c>
      <c r="C4" s="63" t="s">
        <v>161</v>
      </c>
      <c r="D4" s="63">
        <v>2.99</v>
      </c>
      <c r="E4" s="63">
        <v>1.5</v>
      </c>
      <c r="F4" s="63">
        <v>3</v>
      </c>
    </row>
    <row r="5" spans="1:6">
      <c r="A5" s="63">
        <v>1004</v>
      </c>
      <c r="B5" s="63" t="s">
        <v>153</v>
      </c>
      <c r="C5" s="63" t="s">
        <v>162</v>
      </c>
      <c r="D5" s="63">
        <v>149.99</v>
      </c>
      <c r="E5" s="63">
        <v>97.49</v>
      </c>
      <c r="F5" s="63">
        <v>1</v>
      </c>
    </row>
    <row r="6" spans="1:6">
      <c r="A6" s="63">
        <v>1005</v>
      </c>
      <c r="B6" s="63" t="s">
        <v>151</v>
      </c>
      <c r="C6" s="63" t="s">
        <v>163</v>
      </c>
      <c r="D6" s="63">
        <v>11.99</v>
      </c>
      <c r="E6" s="63">
        <v>6</v>
      </c>
      <c r="F6" s="63">
        <v>2</v>
      </c>
    </row>
    <row r="7" spans="1:6">
      <c r="A7" s="63">
        <v>1006</v>
      </c>
      <c r="B7" s="63" t="s">
        <v>164</v>
      </c>
      <c r="C7" s="63" t="s">
        <v>165</v>
      </c>
      <c r="D7" s="63">
        <v>300</v>
      </c>
      <c r="E7" s="63">
        <v>99</v>
      </c>
      <c r="F7" s="63">
        <v>1</v>
      </c>
    </row>
    <row r="8" spans="1:6">
      <c r="A8" s="63">
        <v>1007</v>
      </c>
      <c r="B8" s="63" t="s">
        <v>166</v>
      </c>
      <c r="C8" s="63" t="s">
        <v>167</v>
      </c>
      <c r="D8" s="63">
        <v>11.95</v>
      </c>
      <c r="E8" s="63">
        <v>5.98</v>
      </c>
      <c r="F8" s="63">
        <v>2</v>
      </c>
    </row>
    <row r="9" spans="1:6">
      <c r="A9" s="63">
        <v>1008</v>
      </c>
      <c r="B9" s="63" t="s">
        <v>152</v>
      </c>
      <c r="C9" s="63" t="s">
        <v>159</v>
      </c>
      <c r="D9" s="63">
        <v>700</v>
      </c>
      <c r="E9" s="63">
        <v>231</v>
      </c>
      <c r="F9" s="63">
        <v>1</v>
      </c>
    </row>
    <row r="10" spans="1:6">
      <c r="A10" s="63">
        <v>1009</v>
      </c>
      <c r="B10" s="63" t="s">
        <v>168</v>
      </c>
      <c r="C10" s="63" t="s">
        <v>160</v>
      </c>
      <c r="D10" s="63">
        <v>99.99</v>
      </c>
      <c r="E10" s="63">
        <v>50</v>
      </c>
      <c r="F10" s="63">
        <v>1</v>
      </c>
    </row>
    <row r="11" spans="1:6">
      <c r="A11" s="63">
        <v>1010</v>
      </c>
      <c r="B11" s="63" t="s">
        <v>154</v>
      </c>
      <c r="C11" s="63" t="s">
        <v>162</v>
      </c>
      <c r="D11" s="63">
        <v>150</v>
      </c>
      <c r="E11" s="63">
        <v>97.5</v>
      </c>
      <c r="F11" s="63">
        <v>1</v>
      </c>
    </row>
    <row r="12" spans="1:6">
      <c r="A12" s="63">
        <v>1011</v>
      </c>
      <c r="B12" s="63" t="s">
        <v>169</v>
      </c>
      <c r="C12" s="63" t="s">
        <v>161</v>
      </c>
      <c r="D12" s="63">
        <v>389.99</v>
      </c>
      <c r="E12" s="63">
        <v>128.69999999999999</v>
      </c>
      <c r="F12" s="63">
        <v>1</v>
      </c>
    </row>
    <row r="13" spans="1:6">
      <c r="A13" s="63">
        <v>1012</v>
      </c>
      <c r="B13" s="63" t="s">
        <v>170</v>
      </c>
      <c r="C13" s="63" t="s">
        <v>165</v>
      </c>
      <c r="D13" s="63">
        <v>150</v>
      </c>
      <c r="E13" s="63">
        <v>97.5</v>
      </c>
      <c r="F13" s="63">
        <v>2</v>
      </c>
    </row>
    <row r="14" spans="1:6">
      <c r="A14" s="63">
        <v>1013</v>
      </c>
      <c r="B14" s="63" t="s">
        <v>155</v>
      </c>
      <c r="C14" s="63" t="s">
        <v>160</v>
      </c>
      <c r="D14" s="63">
        <v>1700</v>
      </c>
      <c r="E14" s="63">
        <v>561</v>
      </c>
      <c r="F14" s="63">
        <v>1</v>
      </c>
    </row>
    <row r="15" spans="1:6">
      <c r="A15" s="63">
        <v>1014</v>
      </c>
      <c r="B15" s="63" t="s">
        <v>171</v>
      </c>
      <c r="C15" s="63" t="s">
        <v>167</v>
      </c>
      <c r="D15" s="63">
        <v>11.99</v>
      </c>
      <c r="E15" s="63">
        <v>5.99</v>
      </c>
      <c r="F15" s="63">
        <v>2</v>
      </c>
    </row>
    <row r="16" spans="1:6">
      <c r="A16" s="63">
        <v>1015</v>
      </c>
      <c r="B16" s="63" t="s">
        <v>172</v>
      </c>
      <c r="C16" s="63" t="s">
        <v>159</v>
      </c>
      <c r="D16" s="63">
        <v>149.99</v>
      </c>
      <c r="E16" s="63">
        <v>97.49</v>
      </c>
      <c r="F16" s="63">
        <v>1</v>
      </c>
    </row>
    <row r="17" spans="1:6">
      <c r="A17" s="63">
        <v>1016</v>
      </c>
      <c r="B17" s="63" t="s">
        <v>173</v>
      </c>
      <c r="C17" s="63" t="s">
        <v>162</v>
      </c>
      <c r="D17" s="63">
        <v>300</v>
      </c>
      <c r="E17" s="63">
        <v>99</v>
      </c>
      <c r="F17" s="63">
        <v>1</v>
      </c>
    </row>
    <row r="18" spans="1:6">
      <c r="A18" s="63">
        <v>1017</v>
      </c>
      <c r="B18" s="63" t="s">
        <v>156</v>
      </c>
      <c r="C18" s="63" t="s">
        <v>163</v>
      </c>
      <c r="D18" s="63">
        <v>14.95</v>
      </c>
      <c r="E18" s="63">
        <v>7.48</v>
      </c>
      <c r="F18" s="63">
        <v>3</v>
      </c>
    </row>
    <row r="19" spans="1:6">
      <c r="A19" s="63">
        <v>1018</v>
      </c>
      <c r="B19" s="63" t="s">
        <v>174</v>
      </c>
      <c r="C19" s="63" t="s">
        <v>161</v>
      </c>
      <c r="D19" s="63">
        <v>700</v>
      </c>
      <c r="E19" s="63">
        <v>231</v>
      </c>
      <c r="F19" s="63">
        <v>1</v>
      </c>
    </row>
    <row r="20" spans="1:6">
      <c r="A20" s="63">
        <v>1019</v>
      </c>
      <c r="B20" s="63" t="s">
        <v>157</v>
      </c>
      <c r="C20" s="63" t="s">
        <v>165</v>
      </c>
      <c r="D20" s="63">
        <v>2.99</v>
      </c>
      <c r="E20" s="63">
        <v>1.5</v>
      </c>
      <c r="F20" s="63">
        <v>4</v>
      </c>
    </row>
    <row r="21" spans="1:6" ht="15" thickBot="1">
      <c r="A21" s="63">
        <v>1020</v>
      </c>
      <c r="B21" s="63" t="s">
        <v>175</v>
      </c>
      <c r="C21" s="63" t="s">
        <v>160</v>
      </c>
      <c r="D21" s="63">
        <v>11.95</v>
      </c>
      <c r="E21" s="63">
        <v>5.98</v>
      </c>
      <c r="F21" s="63">
        <v>2</v>
      </c>
    </row>
    <row r="22" spans="1:6">
      <c r="A22" s="73" t="s">
        <v>122</v>
      </c>
      <c r="D22" s="65">
        <f xml:space="preserve"> SUM(D2:D21)</f>
        <v>6573.7199999999984</v>
      </c>
      <c r="E22" s="66">
        <f>SUM(E2:E21)</f>
        <v>2392.59</v>
      </c>
      <c r="F22" s="67"/>
    </row>
    <row r="23" spans="1:6">
      <c r="A23" s="74" t="s">
        <v>63</v>
      </c>
      <c r="D23" s="68">
        <f>AVERAGE(D2:D21)</f>
        <v>328.68599999999992</v>
      </c>
      <c r="E23" s="64">
        <f>AVERAGE(E2:E21)</f>
        <v>119.62950000000001</v>
      </c>
      <c r="F23" s="69"/>
    </row>
    <row r="24" spans="1:6">
      <c r="A24" s="74" t="s">
        <v>49</v>
      </c>
      <c r="D24" s="68">
        <f>PRODUCT(D2:D21)</f>
        <v>1.0319354662397272E+38</v>
      </c>
      <c r="E24" s="64">
        <f>PRODUCT(E2:E21)</f>
        <v>1.5483322134781761E+31</v>
      </c>
      <c r="F24" s="69"/>
    </row>
    <row r="25" spans="1:6">
      <c r="A25" s="74" t="s">
        <v>123</v>
      </c>
      <c r="D25" s="68">
        <f>MIN(D4:D21)</f>
        <v>2.99</v>
      </c>
      <c r="E25" s="64">
        <f>MIN(E2:E21)</f>
        <v>1.5</v>
      </c>
      <c r="F25" s="69"/>
    </row>
    <row r="26" spans="1:6">
      <c r="A26" s="74" t="s">
        <v>124</v>
      </c>
      <c r="D26" s="68">
        <f>MAX(D4:D21)</f>
        <v>1700</v>
      </c>
      <c r="E26" s="64">
        <f>MAX(E2:E21)</f>
        <v>561</v>
      </c>
      <c r="F26" s="69"/>
    </row>
    <row r="27" spans="1:6" ht="15" thickBot="1">
      <c r="A27" s="75" t="s">
        <v>125</v>
      </c>
      <c r="D27" s="70">
        <f>COUNT(D2:D21)</f>
        <v>20</v>
      </c>
      <c r="E27" s="71">
        <f>COUNT(E2:E21)</f>
        <v>20</v>
      </c>
      <c r="F27" s="7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J1000"/>
  <sheetViews>
    <sheetView zoomScale="106" workbookViewId="0">
      <selection activeCell="F5" sqref="F5:F10"/>
    </sheetView>
  </sheetViews>
  <sheetFormatPr defaultColWidth="14.44140625" defaultRowHeight="15" customHeight="1"/>
  <cols>
    <col min="1" max="1" width="26.5546875" customWidth="1"/>
    <col min="2" max="2" width="8.6640625" customWidth="1"/>
    <col min="3" max="3" width="10.6640625" bestFit="1" customWidth="1"/>
    <col min="4" max="4" width="16.5546875" customWidth="1"/>
    <col min="5" max="5" width="10.5546875" customWidth="1"/>
    <col min="6" max="6" width="26.5546875" customWidth="1"/>
    <col min="7" max="7" width="8.6640625" customWidth="1"/>
    <col min="8" max="8" width="21.44140625" bestFit="1" customWidth="1"/>
    <col min="9" max="26" width="8.6640625" customWidth="1"/>
  </cols>
  <sheetData>
    <row r="1" spans="1:10" ht="48" customHeight="1">
      <c r="A1" s="58" t="s">
        <v>108</v>
      </c>
      <c r="J1" s="11"/>
    </row>
    <row r="2" spans="1:10" ht="14.4">
      <c r="A2" s="61" t="s">
        <v>109</v>
      </c>
      <c r="J2" s="4"/>
    </row>
    <row r="3" spans="1:10" ht="14.4">
      <c r="J3" s="4"/>
    </row>
    <row r="4" spans="1:10" ht="14.4">
      <c r="C4" s="49" t="s">
        <v>91</v>
      </c>
      <c r="D4" s="49" t="s">
        <v>92</v>
      </c>
      <c r="E4" s="49" t="s">
        <v>93</v>
      </c>
      <c r="F4" s="49" t="s">
        <v>94</v>
      </c>
      <c r="G4" s="49" t="s">
        <v>95</v>
      </c>
      <c r="H4" s="49" t="s">
        <v>95</v>
      </c>
      <c r="J4" s="4"/>
    </row>
    <row r="5" spans="1:10" ht="14.4">
      <c r="C5" s="52" t="s">
        <v>110</v>
      </c>
      <c r="D5" s="51">
        <v>25</v>
      </c>
      <c r="E5" s="51">
        <v>25</v>
      </c>
      <c r="F5" s="51"/>
      <c r="G5" s="51" t="s">
        <v>131</v>
      </c>
      <c r="H5" s="51" t="s">
        <v>97</v>
      </c>
      <c r="J5" s="4"/>
    </row>
    <row r="6" spans="1:10" ht="14.4">
      <c r="C6" s="52" t="s">
        <v>111</v>
      </c>
      <c r="D6" s="51">
        <v>25</v>
      </c>
      <c r="E6" s="51">
        <v>45</v>
      </c>
      <c r="F6" s="51"/>
      <c r="G6" s="51" t="s">
        <v>112</v>
      </c>
      <c r="H6" s="51" t="s">
        <v>99</v>
      </c>
      <c r="J6" s="4"/>
    </row>
    <row r="7" spans="1:10" ht="14.4">
      <c r="C7" s="52" t="s">
        <v>113</v>
      </c>
      <c r="D7" s="51">
        <v>25</v>
      </c>
      <c r="E7" s="51">
        <v>45</v>
      </c>
      <c r="F7" s="51"/>
      <c r="G7" s="51" t="s">
        <v>114</v>
      </c>
      <c r="H7" s="51" t="s">
        <v>101</v>
      </c>
      <c r="J7" s="4"/>
    </row>
    <row r="8" spans="1:10" ht="14.4">
      <c r="C8" s="52" t="s">
        <v>115</v>
      </c>
      <c r="D8" s="51">
        <v>25</v>
      </c>
      <c r="E8" s="51">
        <v>45</v>
      </c>
      <c r="F8" s="51"/>
      <c r="G8" s="51" t="s">
        <v>116</v>
      </c>
      <c r="H8" s="51" t="s">
        <v>103</v>
      </c>
      <c r="J8" s="4"/>
    </row>
    <row r="9" spans="1:10" ht="14.4">
      <c r="C9" s="52" t="s">
        <v>117</v>
      </c>
      <c r="D9" s="51">
        <v>25</v>
      </c>
      <c r="E9" s="51">
        <v>45</v>
      </c>
      <c r="F9" s="51"/>
      <c r="G9" s="51" t="s">
        <v>118</v>
      </c>
      <c r="H9" s="51" t="s">
        <v>105</v>
      </c>
      <c r="J9" s="4"/>
    </row>
    <row r="10" spans="1:10" ht="14.4">
      <c r="C10" s="52" t="s">
        <v>119</v>
      </c>
      <c r="D10" s="51">
        <v>25</v>
      </c>
      <c r="E10" s="51">
        <v>45</v>
      </c>
      <c r="F10" s="51"/>
      <c r="G10" s="51" t="s">
        <v>120</v>
      </c>
      <c r="H10" s="51" t="s">
        <v>107</v>
      </c>
      <c r="J10" s="4"/>
    </row>
    <row r="11" spans="1:10" ht="14.4">
      <c r="J11" s="4"/>
    </row>
    <row r="12" spans="1:10" ht="14.4">
      <c r="A12" s="4"/>
      <c r="B12" s="12"/>
      <c r="C12" s="12"/>
      <c r="D12" s="13"/>
      <c r="E12" s="4"/>
      <c r="F12" s="4"/>
      <c r="G12" s="4"/>
      <c r="H12" s="4"/>
      <c r="J12" s="4"/>
    </row>
    <row r="13" spans="1:10" ht="14.4">
      <c r="A13" s="4"/>
      <c r="B13" s="12"/>
      <c r="C13" s="12"/>
      <c r="D13" s="13"/>
      <c r="E13" s="4"/>
      <c r="F13" s="4"/>
      <c r="G13" s="4"/>
      <c r="H13" s="4"/>
      <c r="J13" s="4"/>
    </row>
    <row r="14" spans="1:10" ht="14.4">
      <c r="A14" s="4"/>
      <c r="B14" s="12"/>
      <c r="C14" s="12"/>
      <c r="D14" s="13"/>
      <c r="E14" s="4"/>
      <c r="F14" s="4"/>
      <c r="G14" s="4"/>
      <c r="H14" s="4"/>
      <c r="J14" s="4"/>
    </row>
    <row r="15" spans="1:10" ht="14.4">
      <c r="J15" s="4"/>
    </row>
    <row r="16" spans="1:10" ht="14.4">
      <c r="A16" s="53" t="s">
        <v>121</v>
      </c>
      <c r="J16" s="4"/>
    </row>
    <row r="17" spans="3:10" ht="14.4">
      <c r="J17" s="4"/>
    </row>
    <row r="18" spans="3:10" ht="14.4">
      <c r="C18" s="49" t="s">
        <v>91</v>
      </c>
      <c r="D18" s="49" t="s">
        <v>92</v>
      </c>
      <c r="E18" s="49" t="s">
        <v>93</v>
      </c>
      <c r="F18" s="49" t="s">
        <v>94</v>
      </c>
      <c r="G18" s="49"/>
      <c r="H18" s="49" t="s">
        <v>95</v>
      </c>
      <c r="J18" s="4"/>
    </row>
    <row r="19" spans="3:10" ht="14.4">
      <c r="C19" s="50" t="s">
        <v>96</v>
      </c>
      <c r="D19" s="51">
        <v>10</v>
      </c>
      <c r="E19" s="51">
        <v>20</v>
      </c>
      <c r="F19" s="51"/>
      <c r="G19" s="51"/>
      <c r="H19" s="51" t="s">
        <v>97</v>
      </c>
      <c r="J19" s="4"/>
    </row>
    <row r="20" spans="3:10" ht="14.4">
      <c r="C20" s="50" t="s">
        <v>98</v>
      </c>
      <c r="D20" s="51">
        <v>10</v>
      </c>
      <c r="E20" s="51">
        <v>20</v>
      </c>
      <c r="F20" s="51"/>
      <c r="G20" s="51"/>
      <c r="H20" s="51" t="s">
        <v>99</v>
      </c>
      <c r="J20" s="4"/>
    </row>
    <row r="21" spans="3:10" ht="15.75" customHeight="1">
      <c r="C21" s="50" t="s">
        <v>100</v>
      </c>
      <c r="D21" s="51">
        <v>10</v>
      </c>
      <c r="E21" s="51">
        <v>20</v>
      </c>
      <c r="F21" s="51"/>
      <c r="G21" s="51"/>
      <c r="H21" s="51" t="s">
        <v>101</v>
      </c>
      <c r="J21" s="4"/>
    </row>
    <row r="22" spans="3:10" ht="15.75" customHeight="1">
      <c r="C22" s="50" t="s">
        <v>102</v>
      </c>
      <c r="D22" s="51">
        <v>10</v>
      </c>
      <c r="E22" s="51">
        <v>20</v>
      </c>
      <c r="F22" s="51"/>
      <c r="G22" s="51"/>
      <c r="H22" s="51" t="s">
        <v>103</v>
      </c>
      <c r="J22" s="4"/>
    </row>
    <row r="23" spans="3:10" ht="15.75" customHeight="1">
      <c r="C23" s="50" t="s">
        <v>104</v>
      </c>
      <c r="D23" s="51">
        <v>10</v>
      </c>
      <c r="E23" s="51">
        <v>20</v>
      </c>
      <c r="F23" s="51"/>
      <c r="G23" s="51"/>
      <c r="H23" s="51" t="s">
        <v>105</v>
      </c>
      <c r="J23" s="4"/>
    </row>
    <row r="24" spans="3:10" ht="15.75" customHeight="1">
      <c r="C24" s="50" t="s">
        <v>106</v>
      </c>
      <c r="D24" s="51">
        <v>10</v>
      </c>
      <c r="E24" s="51">
        <v>20</v>
      </c>
      <c r="F24" s="51"/>
      <c r="G24" s="51"/>
      <c r="H24" s="51" t="s">
        <v>107</v>
      </c>
      <c r="J24" s="4"/>
    </row>
    <row r="25" spans="3:10" ht="15.75" customHeight="1">
      <c r="J25" s="4"/>
    </row>
    <row r="26" spans="3:10" ht="15.75" customHeight="1">
      <c r="J26" s="4"/>
    </row>
    <row r="27" spans="3:10" ht="15.75" customHeight="1"/>
    <row r="28" spans="3:10" ht="15.75" customHeight="1"/>
    <row r="29" spans="3:10" ht="15.75" customHeight="1"/>
    <row r="30" spans="3:10" ht="15.75" customHeight="1"/>
    <row r="31" spans="3:10" ht="15.75" customHeight="1"/>
    <row r="32" spans="3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6EE853-6E53-4973-9818-E4AB447301FE}" scale="137" topLeftCell="B5">
      <selection activeCell="F21" sqref="F21"/>
      <pageMargins left="0.7" right="0.7" top="0.75" bottom="0.75" header="0" footer="0"/>
      <pageSetup orientation="landscape"/>
    </customSheetView>
    <customSheetView guid="{06BAD8CE-1DBC-44C9-B316-806B0B5B5BBC}" scale="137" topLeftCell="B5">
      <selection activeCell="F21" sqref="F21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workbookViewId="0">
      <selection activeCell="J2" sqref="J2"/>
    </sheetView>
  </sheetViews>
  <sheetFormatPr defaultRowHeight="14.4"/>
  <cols>
    <col min="1" max="1" width="8.77734375" style="79" customWidth="1"/>
    <col min="2" max="2" width="12.6640625" customWidth="1"/>
    <col min="3" max="3" width="11.88671875" customWidth="1"/>
    <col min="6" max="6" width="13.33203125" customWidth="1"/>
    <col min="7" max="7" width="21.88671875" customWidth="1"/>
    <col min="8" max="8" width="21" customWidth="1"/>
    <col min="9" max="9" width="17.21875" customWidth="1"/>
    <col min="10" max="10" width="15.44140625" customWidth="1"/>
  </cols>
  <sheetData>
    <row r="1" spans="1:14" ht="29.4" thickBot="1">
      <c r="A1" s="87" t="s">
        <v>66</v>
      </c>
      <c r="B1" s="88" t="s">
        <v>147</v>
      </c>
      <c r="C1" s="88" t="s">
        <v>48</v>
      </c>
      <c r="D1" s="88" t="s">
        <v>186</v>
      </c>
      <c r="E1" s="81" t="s">
        <v>60</v>
      </c>
      <c r="F1" s="78" t="s">
        <v>187</v>
      </c>
      <c r="G1" s="78" t="s">
        <v>188</v>
      </c>
      <c r="H1" s="78" t="s">
        <v>189</v>
      </c>
      <c r="I1" s="78" t="s">
        <v>190</v>
      </c>
      <c r="J1" s="78" t="s">
        <v>191</v>
      </c>
      <c r="K1" s="76"/>
      <c r="L1" s="76"/>
      <c r="M1" s="76"/>
      <c r="N1" s="76"/>
    </row>
    <row r="2" spans="1:14" ht="30" thickTop="1" thickBot="1">
      <c r="A2" s="82">
        <v>101</v>
      </c>
      <c r="B2" s="83" t="s">
        <v>176</v>
      </c>
      <c r="C2" s="83" t="s">
        <v>53</v>
      </c>
      <c r="D2" s="83">
        <v>1500</v>
      </c>
      <c r="E2" s="83">
        <v>2</v>
      </c>
      <c r="F2" s="90">
        <f>D2*E2</f>
        <v>3000</v>
      </c>
      <c r="G2" s="89" t="str">
        <f>IF(F2&gt;10000,"High Order","Low Order")</f>
        <v>Low Order</v>
      </c>
      <c r="H2" s="89" t="str">
        <f>IF(AND(F2&gt;=10000,C2="PREMIUM"), "PREMIUM PRODUCT","NOT PREMIUM PRODUCT")</f>
        <v>NOT PREMIUM PRODUCT</v>
      </c>
      <c r="I2" s="89" t="str">
        <f>IF(OR(E2&gt;=2,F2&gt;=10000),"Offer Eligible","Not Eligible")</f>
        <v>Offer Eligible</v>
      </c>
      <c r="J2" s="89" t="b">
        <f>NOT(C2="Premium")</f>
        <v>1</v>
      </c>
      <c r="K2" s="77"/>
      <c r="L2" s="77"/>
      <c r="M2" s="77"/>
      <c r="N2" s="77"/>
    </row>
    <row r="3" spans="1:14" ht="30" thickTop="1" thickBot="1">
      <c r="A3" s="84">
        <v>102</v>
      </c>
      <c r="B3" s="80" t="s">
        <v>177</v>
      </c>
      <c r="C3" s="80" t="s">
        <v>52</v>
      </c>
      <c r="D3" s="80">
        <v>75000</v>
      </c>
      <c r="E3" s="80">
        <v>1</v>
      </c>
      <c r="F3" s="90">
        <f t="shared" ref="F3:F11" si="0">D3*E3</f>
        <v>75000</v>
      </c>
      <c r="G3" s="89" t="str">
        <f t="shared" ref="G3:G11" si="1">IF(F3&gt;10000,"High Order","Low Order")</f>
        <v>High Order</v>
      </c>
      <c r="H3" s="89" t="str">
        <f t="shared" ref="H3:H11" si="2">IF(AND(F3&gt;=10000,C3="PREMIUM"), "PREMIUM PRODUCT","NOT PREMIUM PRODUCT")</f>
        <v>PREMIUM PRODUCT</v>
      </c>
      <c r="I3" s="89" t="str">
        <f t="shared" ref="I3:I11" si="3">IF(OR(E3&gt;=2,F3&gt;=10000),"Offer Eligible","Not Eligible")</f>
        <v>Offer Eligible</v>
      </c>
      <c r="J3" s="89" t="b">
        <f t="shared" ref="J3:J11" si="4">NOT(C3="Premium")</f>
        <v>0</v>
      </c>
      <c r="K3" s="77"/>
      <c r="L3" s="77"/>
      <c r="M3" s="77"/>
      <c r="N3" s="77"/>
    </row>
    <row r="4" spans="1:14" ht="30" thickTop="1" thickBot="1">
      <c r="A4" s="84">
        <v>103</v>
      </c>
      <c r="B4" s="80" t="s">
        <v>178</v>
      </c>
      <c r="C4" s="80" t="s">
        <v>54</v>
      </c>
      <c r="D4" s="80">
        <v>500</v>
      </c>
      <c r="E4" s="80">
        <v>5</v>
      </c>
      <c r="F4" s="90">
        <f t="shared" si="0"/>
        <v>2500</v>
      </c>
      <c r="G4" s="89" t="str">
        <f t="shared" si="1"/>
        <v>Low Order</v>
      </c>
      <c r="H4" s="89" t="str">
        <f t="shared" si="2"/>
        <v>NOT PREMIUM PRODUCT</v>
      </c>
      <c r="I4" s="89" t="str">
        <f t="shared" si="3"/>
        <v>Offer Eligible</v>
      </c>
      <c r="J4" s="89" t="b">
        <f t="shared" si="4"/>
        <v>1</v>
      </c>
      <c r="K4" s="77"/>
      <c r="L4" s="77"/>
      <c r="M4" s="77"/>
      <c r="N4" s="77"/>
    </row>
    <row r="5" spans="1:14" ht="30" thickTop="1" thickBot="1">
      <c r="A5" s="84">
        <v>104</v>
      </c>
      <c r="B5" s="80" t="s">
        <v>179</v>
      </c>
      <c r="C5" s="80" t="s">
        <v>54</v>
      </c>
      <c r="D5" s="80">
        <v>1200</v>
      </c>
      <c r="E5" s="80">
        <v>3</v>
      </c>
      <c r="F5" s="90">
        <f t="shared" si="0"/>
        <v>3600</v>
      </c>
      <c r="G5" s="89" t="str">
        <f t="shared" si="1"/>
        <v>Low Order</v>
      </c>
      <c r="H5" s="89" t="str">
        <f t="shared" si="2"/>
        <v>NOT PREMIUM PRODUCT</v>
      </c>
      <c r="I5" s="89" t="str">
        <f t="shared" si="3"/>
        <v>Offer Eligible</v>
      </c>
      <c r="J5" s="89" t="b">
        <f t="shared" si="4"/>
        <v>1</v>
      </c>
      <c r="K5" s="77"/>
      <c r="L5" s="77"/>
      <c r="M5" s="77"/>
      <c r="N5" s="77"/>
    </row>
    <row r="6" spans="1:14" ht="15.6" thickTop="1" thickBot="1">
      <c r="A6" s="84">
        <v>105</v>
      </c>
      <c r="B6" s="80" t="s">
        <v>180</v>
      </c>
      <c r="C6" s="80" t="s">
        <v>52</v>
      </c>
      <c r="D6" s="80">
        <v>16000</v>
      </c>
      <c r="E6" s="80">
        <v>2</v>
      </c>
      <c r="F6" s="90">
        <f t="shared" si="0"/>
        <v>32000</v>
      </c>
      <c r="G6" s="89" t="str">
        <f t="shared" si="1"/>
        <v>High Order</v>
      </c>
      <c r="H6" s="89" t="str">
        <f t="shared" si="2"/>
        <v>PREMIUM PRODUCT</v>
      </c>
      <c r="I6" s="89" t="str">
        <f t="shared" si="3"/>
        <v>Offer Eligible</v>
      </c>
      <c r="J6" s="89" t="b">
        <f t="shared" si="4"/>
        <v>0</v>
      </c>
      <c r="K6" s="77"/>
      <c r="L6" s="77"/>
      <c r="M6" s="77"/>
      <c r="N6" s="77"/>
    </row>
    <row r="7" spans="1:14" ht="30" thickTop="1" thickBot="1">
      <c r="A7" s="84">
        <v>106</v>
      </c>
      <c r="B7" s="80" t="s">
        <v>181</v>
      </c>
      <c r="C7" s="80" t="s">
        <v>53</v>
      </c>
      <c r="D7" s="80">
        <v>4000</v>
      </c>
      <c r="E7" s="80">
        <v>3</v>
      </c>
      <c r="F7" s="90">
        <f t="shared" si="0"/>
        <v>12000</v>
      </c>
      <c r="G7" s="89" t="str">
        <f t="shared" si="1"/>
        <v>High Order</v>
      </c>
      <c r="H7" s="89" t="str">
        <f t="shared" si="2"/>
        <v>NOT PREMIUM PRODUCT</v>
      </c>
      <c r="I7" s="89" t="str">
        <f t="shared" si="3"/>
        <v>Offer Eligible</v>
      </c>
      <c r="J7" s="89" t="b">
        <f t="shared" si="4"/>
        <v>1</v>
      </c>
      <c r="K7" s="77"/>
      <c r="L7" s="77"/>
      <c r="M7" s="77"/>
      <c r="N7" s="77"/>
    </row>
    <row r="8" spans="1:14" ht="30" thickTop="1" thickBot="1">
      <c r="A8" s="84">
        <v>107</v>
      </c>
      <c r="B8" s="80" t="s">
        <v>182</v>
      </c>
      <c r="C8" s="80" t="s">
        <v>54</v>
      </c>
      <c r="D8" s="80">
        <v>800</v>
      </c>
      <c r="E8" s="80">
        <v>6</v>
      </c>
      <c r="F8" s="90">
        <f t="shared" si="0"/>
        <v>4800</v>
      </c>
      <c r="G8" s="89" t="str">
        <f t="shared" si="1"/>
        <v>Low Order</v>
      </c>
      <c r="H8" s="89" t="str">
        <f t="shared" si="2"/>
        <v>NOT PREMIUM PRODUCT</v>
      </c>
      <c r="I8" s="89" t="str">
        <f t="shared" si="3"/>
        <v>Offer Eligible</v>
      </c>
      <c r="J8" s="89" t="b">
        <f t="shared" si="4"/>
        <v>1</v>
      </c>
      <c r="K8" s="77"/>
      <c r="L8" s="77"/>
      <c r="M8" s="77"/>
      <c r="N8" s="77"/>
    </row>
    <row r="9" spans="1:14" ht="44.4" thickTop="1" thickBot="1">
      <c r="A9" s="84">
        <v>108</v>
      </c>
      <c r="B9" s="80" t="s">
        <v>183</v>
      </c>
      <c r="C9" s="80" t="s">
        <v>52</v>
      </c>
      <c r="D9" s="80">
        <v>13000</v>
      </c>
      <c r="E9" s="80">
        <v>2</v>
      </c>
      <c r="F9" s="90">
        <f t="shared" si="0"/>
        <v>26000</v>
      </c>
      <c r="G9" s="89" t="str">
        <f t="shared" si="1"/>
        <v>High Order</v>
      </c>
      <c r="H9" s="89" t="str">
        <f t="shared" si="2"/>
        <v>PREMIUM PRODUCT</v>
      </c>
      <c r="I9" s="89" t="str">
        <f t="shared" si="3"/>
        <v>Offer Eligible</v>
      </c>
      <c r="J9" s="89" t="b">
        <f t="shared" si="4"/>
        <v>0</v>
      </c>
      <c r="K9" s="77"/>
      <c r="L9" s="77"/>
      <c r="M9" s="77"/>
      <c r="N9" s="77"/>
    </row>
    <row r="10" spans="1:14" ht="30" thickTop="1" thickBot="1">
      <c r="A10" s="84">
        <v>109</v>
      </c>
      <c r="B10" s="80" t="s">
        <v>184</v>
      </c>
      <c r="C10" s="80" t="s">
        <v>53</v>
      </c>
      <c r="D10" s="80">
        <v>2000</v>
      </c>
      <c r="E10" s="80">
        <v>3</v>
      </c>
      <c r="F10" s="90">
        <f t="shared" si="0"/>
        <v>6000</v>
      </c>
      <c r="G10" s="89" t="str">
        <f t="shared" si="1"/>
        <v>Low Order</v>
      </c>
      <c r="H10" s="89" t="str">
        <f t="shared" si="2"/>
        <v>NOT PREMIUM PRODUCT</v>
      </c>
      <c r="I10" s="89" t="str">
        <f t="shared" si="3"/>
        <v>Offer Eligible</v>
      </c>
      <c r="J10" s="89" t="b">
        <f t="shared" si="4"/>
        <v>1</v>
      </c>
      <c r="K10" s="77"/>
      <c r="L10" s="77"/>
      <c r="M10" s="77"/>
      <c r="N10" s="77"/>
    </row>
    <row r="11" spans="1:14" ht="30" thickTop="1" thickBot="1">
      <c r="A11" s="85">
        <v>110</v>
      </c>
      <c r="B11" s="86" t="s">
        <v>185</v>
      </c>
      <c r="C11" s="86" t="s">
        <v>54</v>
      </c>
      <c r="D11" s="86">
        <v>600</v>
      </c>
      <c r="E11" s="86">
        <v>5</v>
      </c>
      <c r="F11" s="90">
        <f t="shared" si="0"/>
        <v>3000</v>
      </c>
      <c r="G11" s="89" t="str">
        <f t="shared" si="1"/>
        <v>Low Order</v>
      </c>
      <c r="H11" s="89" t="str">
        <f t="shared" si="2"/>
        <v>NOT PREMIUM PRODUCT</v>
      </c>
      <c r="I11" s="89" t="str">
        <f t="shared" si="3"/>
        <v>Offer Eligible</v>
      </c>
      <c r="J11" s="89" t="b">
        <f t="shared" si="4"/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1:N969"/>
  <sheetViews>
    <sheetView tabSelected="1" topLeftCell="I1" zoomScale="95" zoomScaleNormal="130" workbookViewId="0">
      <selection activeCell="L6" sqref="L6"/>
    </sheetView>
  </sheetViews>
  <sheetFormatPr defaultColWidth="14.44140625" defaultRowHeight="15" customHeight="1"/>
  <cols>
    <col min="1" max="1" width="13.33203125" customWidth="1"/>
    <col min="2" max="2" width="16.6640625" customWidth="1"/>
    <col min="3" max="3" width="9.88671875" customWidth="1"/>
    <col min="4" max="4" width="9.6640625" customWidth="1"/>
    <col min="5" max="5" width="8.6640625" customWidth="1"/>
    <col min="6" max="6" width="13.109375" customWidth="1"/>
    <col min="7" max="7" width="12" customWidth="1"/>
    <col min="8" max="8" width="12.44140625" customWidth="1"/>
    <col min="9" max="9" width="16.44140625" customWidth="1"/>
    <col min="10" max="10" width="18.33203125" customWidth="1"/>
    <col min="11" max="11" width="11.5546875" customWidth="1"/>
    <col min="12" max="12" width="10.6640625" customWidth="1"/>
    <col min="13" max="26" width="8.6640625" customWidth="1"/>
  </cols>
  <sheetData>
    <row r="1" spans="1:14" ht="15" customHeight="1">
      <c r="A1" s="15" t="s">
        <v>48</v>
      </c>
      <c r="B1" s="15" t="s">
        <v>57</v>
      </c>
      <c r="C1" s="15" t="s">
        <v>50</v>
      </c>
      <c r="D1" s="15" t="s">
        <v>51</v>
      </c>
      <c r="G1" s="91" t="s">
        <v>58</v>
      </c>
      <c r="H1" s="92"/>
      <c r="I1" s="16"/>
      <c r="J1" s="91" t="s">
        <v>59</v>
      </c>
      <c r="K1" s="93"/>
      <c r="L1" s="93"/>
      <c r="M1" s="92"/>
    </row>
    <row r="2" spans="1:14" ht="15" customHeight="1">
      <c r="A2" s="17" t="s">
        <v>53</v>
      </c>
      <c r="B2" s="18">
        <v>1</v>
      </c>
      <c r="C2" s="19">
        <v>700</v>
      </c>
      <c r="D2" s="18">
        <v>231</v>
      </c>
      <c r="G2" s="94" t="s">
        <v>48</v>
      </c>
      <c r="H2" s="94" t="s">
        <v>55</v>
      </c>
      <c r="I2" s="20"/>
      <c r="J2" s="21" t="s">
        <v>48</v>
      </c>
      <c r="K2" s="22" t="s">
        <v>60</v>
      </c>
      <c r="L2" s="23"/>
      <c r="M2" s="24"/>
    </row>
    <row r="3" spans="1:14" ht="15" customHeight="1">
      <c r="A3" s="17" t="s">
        <v>53</v>
      </c>
      <c r="B3" s="18">
        <v>1</v>
      </c>
      <c r="C3" s="19">
        <v>14.95</v>
      </c>
      <c r="D3" s="18">
        <v>7.4749999999999996</v>
      </c>
      <c r="G3" s="95"/>
      <c r="H3" s="95"/>
      <c r="I3" s="25"/>
      <c r="J3" s="26"/>
      <c r="K3" s="17">
        <v>1</v>
      </c>
      <c r="L3" s="17">
        <v>2</v>
      </c>
      <c r="M3" s="17">
        <v>3</v>
      </c>
      <c r="N3" s="27"/>
    </row>
    <row r="4" spans="1:14" ht="15" customHeight="1">
      <c r="A4" s="28" t="s">
        <v>52</v>
      </c>
      <c r="B4" s="29">
        <v>2</v>
      </c>
      <c r="C4" s="30">
        <v>11.99</v>
      </c>
      <c r="D4" s="18">
        <v>5.9950000000000001</v>
      </c>
      <c r="G4" s="17" t="s">
        <v>52</v>
      </c>
      <c r="H4" s="31">
        <f>SUMIF(A:A,"Premium",C:C)</f>
        <v>2164.9700000000003</v>
      </c>
      <c r="I4" s="25"/>
      <c r="J4" s="17" t="s">
        <v>52</v>
      </c>
      <c r="K4" s="32">
        <f>SUMIFS(C:C,A:A,J4,B:B,1)</f>
        <v>2152.98</v>
      </c>
      <c r="L4" s="32">
        <f>SUMIFS(C:C,A:A,J4,B:B,2)</f>
        <v>11.99</v>
      </c>
      <c r="M4" s="32">
        <f>SUMIFS(C:C,A:A,J4,B:B,3)</f>
        <v>0</v>
      </c>
      <c r="N4" s="33"/>
    </row>
    <row r="5" spans="1:14" ht="15" customHeight="1">
      <c r="A5" s="17" t="s">
        <v>54</v>
      </c>
      <c r="B5" s="18">
        <v>1</v>
      </c>
      <c r="C5" s="19">
        <v>149.99</v>
      </c>
      <c r="D5" s="18">
        <v>97.493499999999997</v>
      </c>
      <c r="E5" s="56"/>
      <c r="G5" s="17" t="s">
        <v>53</v>
      </c>
      <c r="H5" s="31">
        <f>SUMIF(A:A,"MidRange",C:C)</f>
        <v>1816.88</v>
      </c>
      <c r="I5" s="25"/>
      <c r="J5" s="17" t="s">
        <v>53</v>
      </c>
      <c r="K5" s="32">
        <f t="shared" ref="K5:K6" si="0">SUMIFS(C:C,A:A,J5,B:B,1)</f>
        <v>1816.88</v>
      </c>
      <c r="L5" s="32">
        <f>SUMIFS(C:C,A:A,J5,B:B,2)</f>
        <v>0</v>
      </c>
      <c r="M5" s="32">
        <f t="shared" ref="M5:M6" si="1">SUMIFS(C:C,A:A,J5,B:B,3)</f>
        <v>0</v>
      </c>
    </row>
    <row r="6" spans="1:14" ht="15" customHeight="1">
      <c r="A6" s="17" t="s">
        <v>54</v>
      </c>
      <c r="B6" s="18">
        <v>1</v>
      </c>
      <c r="C6" s="19">
        <v>11.99</v>
      </c>
      <c r="D6" s="18">
        <v>5.9950000000000001</v>
      </c>
      <c r="E6" s="14"/>
      <c r="F6" s="19"/>
      <c r="G6" s="17" t="s">
        <v>54</v>
      </c>
      <c r="H6" s="31">
        <f>SUMIF(A:A,"Cheap",C:C)</f>
        <v>414.96000000000004</v>
      </c>
      <c r="I6" s="34"/>
      <c r="J6" s="17" t="s">
        <v>54</v>
      </c>
      <c r="K6" s="32">
        <f t="shared" si="0"/>
        <v>411.97</v>
      </c>
      <c r="L6" s="32">
        <f t="shared" ref="L5:L6" si="2">SUMIFS(C:C,A:A,J6,B:B,2)</f>
        <v>0</v>
      </c>
      <c r="M6" s="32">
        <f t="shared" si="1"/>
        <v>2.99</v>
      </c>
    </row>
    <row r="7" spans="1:14" ht="15" customHeight="1">
      <c r="A7" s="28" t="s">
        <v>52</v>
      </c>
      <c r="B7" s="29">
        <v>1</v>
      </c>
      <c r="C7" s="30">
        <v>2.99</v>
      </c>
      <c r="D7" s="18">
        <v>1.4950000000000001</v>
      </c>
    </row>
    <row r="8" spans="1:14" ht="15" customHeight="1">
      <c r="A8" s="17" t="s">
        <v>53</v>
      </c>
      <c r="B8" s="18">
        <v>1</v>
      </c>
      <c r="C8" s="19">
        <v>389.99</v>
      </c>
      <c r="D8" s="18">
        <v>128.69669999999999</v>
      </c>
      <c r="F8" s="56"/>
      <c r="G8" s="91" t="s">
        <v>61</v>
      </c>
      <c r="H8" s="92"/>
      <c r="I8" s="35"/>
      <c r="J8" s="91" t="s">
        <v>62</v>
      </c>
      <c r="K8" s="93"/>
      <c r="L8" s="93"/>
      <c r="M8" s="92"/>
    </row>
    <row r="9" spans="1:14" ht="15" customHeight="1">
      <c r="A9" s="17" t="s">
        <v>53</v>
      </c>
      <c r="B9" s="18">
        <v>1</v>
      </c>
      <c r="C9" s="19">
        <v>11.95</v>
      </c>
      <c r="D9" s="18">
        <v>5.9749999999999996</v>
      </c>
      <c r="E9" s="14"/>
      <c r="G9" s="94" t="s">
        <v>48</v>
      </c>
      <c r="H9" s="94" t="s">
        <v>63</v>
      </c>
      <c r="I9" s="36"/>
      <c r="J9" s="21" t="s">
        <v>48</v>
      </c>
      <c r="K9" s="22" t="s">
        <v>60</v>
      </c>
      <c r="L9" s="23"/>
      <c r="M9" s="24"/>
    </row>
    <row r="10" spans="1:14" ht="15" customHeight="1">
      <c r="A10" s="17" t="s">
        <v>54</v>
      </c>
      <c r="B10" s="18">
        <v>1</v>
      </c>
      <c r="C10" s="19">
        <v>99.99</v>
      </c>
      <c r="D10" s="18">
        <v>49.994999999999997</v>
      </c>
      <c r="G10" s="95"/>
      <c r="H10" s="95"/>
      <c r="I10" s="37"/>
      <c r="J10" s="26"/>
      <c r="K10" s="17">
        <v>1</v>
      </c>
      <c r="L10" s="17">
        <v>2</v>
      </c>
      <c r="M10" s="17">
        <v>3</v>
      </c>
    </row>
    <row r="11" spans="1:14" ht="15" customHeight="1">
      <c r="A11" s="17" t="s">
        <v>54</v>
      </c>
      <c r="B11" s="18">
        <v>1</v>
      </c>
      <c r="C11" s="19">
        <v>150</v>
      </c>
      <c r="D11" s="18">
        <v>97.5</v>
      </c>
      <c r="G11" s="17" t="s">
        <v>52</v>
      </c>
      <c r="H11" s="31">
        <f>AVERAGEIF(A:A,"Premium",C:C)</f>
        <v>432.99400000000003</v>
      </c>
      <c r="I11" s="38"/>
      <c r="J11" s="17" t="s">
        <v>52</v>
      </c>
      <c r="K11" s="31">
        <f>AVERAGEIFS(C:C,A:A,J11,B:B,1)</f>
        <v>538.245</v>
      </c>
      <c r="L11" s="31">
        <f>AVERAGEIFS(C:C,A:A,J11,B:B,2)</f>
        <v>11.99</v>
      </c>
      <c r="M11" s="31" t="e">
        <f>AVERAGEIFS(C:C,A:A,J11,B:B,3)</f>
        <v>#DIV/0!</v>
      </c>
    </row>
    <row r="12" spans="1:14" ht="15" customHeight="1">
      <c r="A12" s="17" t="s">
        <v>53</v>
      </c>
      <c r="B12" s="18">
        <v>1</v>
      </c>
      <c r="C12" s="19">
        <v>150</v>
      </c>
      <c r="D12" s="18">
        <v>97.5</v>
      </c>
      <c r="G12" s="17" t="s">
        <v>53</v>
      </c>
      <c r="H12" s="31">
        <f>AVERAGEIF(A:A,"Midrange",C:C)</f>
        <v>259.55428571428575</v>
      </c>
      <c r="I12" s="38"/>
      <c r="J12" s="17" t="s">
        <v>53</v>
      </c>
      <c r="K12" s="31">
        <f t="shared" ref="K12:K13" si="3">AVERAGEIFS(C:C,A:A,J12,B:B,1)</f>
        <v>259.55428571428575</v>
      </c>
      <c r="L12" s="31" t="e">
        <f>AVERAGEIFS(C:C,A:A,J12,B:B,2)</f>
        <v>#DIV/0!</v>
      </c>
      <c r="M12" s="31" t="e">
        <f t="shared" ref="M12:M13" si="4">AVERAGEIFS(C:C,A:A,J12,B:B,3)</f>
        <v>#DIV/0!</v>
      </c>
    </row>
    <row r="13" spans="1:14" ht="15" customHeight="1">
      <c r="A13" s="28" t="s">
        <v>52</v>
      </c>
      <c r="B13" s="29">
        <v>1</v>
      </c>
      <c r="C13" s="30">
        <v>1700</v>
      </c>
      <c r="D13" s="18">
        <v>561</v>
      </c>
      <c r="G13" s="17" t="s">
        <v>54</v>
      </c>
      <c r="H13" s="31">
        <f>AVERAGEIF(A:A,"Cheap",C:C)</f>
        <v>82.992000000000004</v>
      </c>
      <c r="I13" s="38"/>
      <c r="J13" s="17" t="s">
        <v>54</v>
      </c>
      <c r="K13" s="31">
        <f t="shared" si="3"/>
        <v>102.99250000000001</v>
      </c>
      <c r="L13" s="31" t="e">
        <f t="shared" ref="L12:L13" si="5">AVERAGEIFS(C:C,A:A,J13,B:B,2)</f>
        <v>#DIV/0!</v>
      </c>
      <c r="M13" s="31">
        <f t="shared" si="4"/>
        <v>2.99</v>
      </c>
    </row>
    <row r="14" spans="1:14" ht="15" customHeight="1">
      <c r="A14" s="17" t="s">
        <v>54</v>
      </c>
      <c r="B14" s="18">
        <v>3</v>
      </c>
      <c r="C14" s="19">
        <v>2.99</v>
      </c>
      <c r="D14" s="18">
        <v>1.4950000000000001</v>
      </c>
      <c r="I14" s="39"/>
    </row>
    <row r="15" spans="1:14" ht="15" customHeight="1">
      <c r="A15" s="17" t="s">
        <v>53</v>
      </c>
      <c r="B15" s="18">
        <v>1</v>
      </c>
      <c r="C15" s="19">
        <v>149.99</v>
      </c>
      <c r="D15" s="18">
        <v>97.493499999999997</v>
      </c>
      <c r="G15" s="91" t="s">
        <v>64</v>
      </c>
      <c r="H15" s="92"/>
      <c r="I15" s="40"/>
      <c r="J15" s="91" t="s">
        <v>65</v>
      </c>
      <c r="K15" s="93"/>
      <c r="L15" s="93"/>
      <c r="M15" s="92"/>
    </row>
    <row r="16" spans="1:14" ht="15" customHeight="1">
      <c r="A16" s="28" t="s">
        <v>52</v>
      </c>
      <c r="B16" s="29">
        <v>1</v>
      </c>
      <c r="C16" s="30">
        <v>300</v>
      </c>
      <c r="D16" s="18">
        <v>99</v>
      </c>
      <c r="G16" s="94" t="s">
        <v>48</v>
      </c>
      <c r="H16" s="96" t="s">
        <v>56</v>
      </c>
      <c r="I16" s="41"/>
      <c r="J16" s="21" t="s">
        <v>48</v>
      </c>
      <c r="K16" s="22" t="s">
        <v>60</v>
      </c>
      <c r="L16" s="23"/>
      <c r="M16" s="24"/>
    </row>
    <row r="17" spans="1:13" ht="15" customHeight="1">
      <c r="A17" s="28" t="s">
        <v>52</v>
      </c>
      <c r="B17" s="29">
        <v>1</v>
      </c>
      <c r="C17" s="30">
        <v>149.99</v>
      </c>
      <c r="D17" s="18">
        <v>97.493499999999997</v>
      </c>
      <c r="G17" s="95"/>
      <c r="H17" s="95"/>
      <c r="I17" s="37"/>
      <c r="J17" s="26"/>
      <c r="K17" s="17">
        <v>1</v>
      </c>
      <c r="L17" s="17">
        <v>2</v>
      </c>
      <c r="M17" s="17">
        <v>3</v>
      </c>
    </row>
    <row r="18" spans="1:13" ht="15" customHeight="1">
      <c r="A18" s="17" t="s">
        <v>53</v>
      </c>
      <c r="B18" s="18">
        <v>1</v>
      </c>
      <c r="C18" s="19">
        <v>400</v>
      </c>
      <c r="D18" s="18">
        <v>132</v>
      </c>
      <c r="G18" s="17" t="s">
        <v>52</v>
      </c>
      <c r="H18" s="31">
        <f>COUNTIF(A:A,"Premium")</f>
        <v>5</v>
      </c>
      <c r="I18" s="38"/>
      <c r="J18" s="17" t="s">
        <v>52</v>
      </c>
      <c r="K18" s="31">
        <f>COUNTIFS(A:A,J18,B:B,1)</f>
        <v>4</v>
      </c>
      <c r="L18" s="31">
        <f>COUNTIFS(A:A,J18,B:B,2)</f>
        <v>1</v>
      </c>
      <c r="M18" s="31">
        <f>COUNTIFS(A:A,J18,B:B,3)</f>
        <v>0</v>
      </c>
    </row>
    <row r="19" spans="1:13" ht="15" customHeight="1">
      <c r="G19" s="17" t="s">
        <v>53</v>
      </c>
      <c r="H19" s="31">
        <f>COUNTIF(A:A,"MidRange")</f>
        <v>7</v>
      </c>
      <c r="I19" s="38"/>
      <c r="J19" s="17" t="s">
        <v>53</v>
      </c>
      <c r="K19" s="31">
        <f t="shared" ref="K19:K20" si="6">COUNTIFS(A:A,J19,B:B,1)</f>
        <v>7</v>
      </c>
      <c r="L19" s="31">
        <f t="shared" ref="L19:L20" si="7">COUNTIFS(A:A,J19,B:B,2)</f>
        <v>0</v>
      </c>
      <c r="M19" s="31">
        <f t="shared" ref="M19:M20" si="8">COUNTIFS(A:A,J19,B:B,3)</f>
        <v>0</v>
      </c>
    </row>
    <row r="20" spans="1:13" ht="15" customHeight="1">
      <c r="G20" s="17" t="s">
        <v>54</v>
      </c>
      <c r="H20" s="31">
        <f>COUNTIF(A:A,"Cheap")</f>
        <v>5</v>
      </c>
      <c r="I20" s="38"/>
      <c r="J20" s="17" t="s">
        <v>54</v>
      </c>
      <c r="K20" s="31">
        <f t="shared" si="6"/>
        <v>4</v>
      </c>
      <c r="L20" s="31">
        <f t="shared" si="7"/>
        <v>0</v>
      </c>
      <c r="M20" s="31">
        <f t="shared" si="8"/>
        <v>1</v>
      </c>
    </row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customSheetViews>
    <customSheetView guid="{586EE853-6E53-4973-9818-E4AB447301FE}" scale="85">
      <selection activeCell="L13" sqref="L13"/>
      <pageMargins left="0.7" right="0.7" top="0.75" bottom="0.75" header="0" footer="0"/>
      <pageSetup orientation="landscape"/>
    </customSheetView>
    <customSheetView guid="{06BAD8CE-1DBC-44C9-B316-806B0B5B5BBC}" scale="85">
      <selection activeCell="L13" sqref="L13"/>
      <pageMargins left="0.7" right="0.7" top="0.75" bottom="0.75" header="0" footer="0"/>
      <pageSetup orientation="landscape"/>
    </customSheetView>
  </customSheetViews>
  <mergeCells count="12">
    <mergeCell ref="G16:G17"/>
    <mergeCell ref="H16:H17"/>
    <mergeCell ref="G9:G10"/>
    <mergeCell ref="J15:M15"/>
    <mergeCell ref="H9:H10"/>
    <mergeCell ref="G15:H15"/>
    <mergeCell ref="G1:H1"/>
    <mergeCell ref="J1:M1"/>
    <mergeCell ref="G2:G3"/>
    <mergeCell ref="H2:H3"/>
    <mergeCell ref="G8:H8"/>
    <mergeCell ref="J8:M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4"/>
  <dimension ref="D4:K1000"/>
  <sheetViews>
    <sheetView topLeftCell="A3" workbookViewId="0">
      <selection activeCell="K6" sqref="K6"/>
    </sheetView>
  </sheetViews>
  <sheetFormatPr defaultColWidth="14.44140625" defaultRowHeight="15" customHeight="1"/>
  <cols>
    <col min="1" max="3" width="8.6640625" customWidth="1"/>
    <col min="4" max="4" width="13.109375" customWidth="1"/>
    <col min="5" max="5" width="8.6640625" customWidth="1"/>
    <col min="6" max="7" width="15.5546875" customWidth="1"/>
    <col min="8" max="8" width="8.6640625" customWidth="1"/>
    <col min="9" max="9" width="12.44140625" customWidth="1"/>
    <col min="10" max="11" width="10.44140625" customWidth="1"/>
    <col min="12" max="26" width="8.6640625" customWidth="1"/>
  </cols>
  <sheetData>
    <row r="4" spans="4:11" ht="14.4">
      <c r="D4" s="3" t="s">
        <v>67</v>
      </c>
    </row>
    <row r="5" spans="4:11" ht="14.4">
      <c r="D5" s="3" t="s">
        <v>68</v>
      </c>
      <c r="F5" s="43"/>
      <c r="J5" s="43"/>
    </row>
    <row r="6" spans="4:11" ht="14.4">
      <c r="D6" s="3" t="s">
        <v>69</v>
      </c>
      <c r="F6" s="42"/>
      <c r="G6" s="43"/>
      <c r="H6" s="4"/>
      <c r="I6" s="4"/>
      <c r="J6" s="43"/>
      <c r="K6" s="43"/>
    </row>
    <row r="7" spans="4:11" ht="14.4">
      <c r="D7" s="3" t="s">
        <v>70</v>
      </c>
      <c r="F7" s="43"/>
      <c r="G7" s="42"/>
      <c r="H7" s="4"/>
      <c r="I7" s="4"/>
    </row>
    <row r="8" spans="4:11" ht="14.4">
      <c r="D8" s="3" t="s">
        <v>71</v>
      </c>
      <c r="F8" s="44"/>
      <c r="H8" s="4"/>
      <c r="I8" s="4"/>
    </row>
    <row r="9" spans="4:11" ht="14.4">
      <c r="D9" s="3" t="s">
        <v>72</v>
      </c>
      <c r="F9" s="3" t="s">
        <v>69</v>
      </c>
      <c r="G9" s="43"/>
      <c r="J9" s="43"/>
    </row>
    <row r="10" spans="4:11" ht="14.4">
      <c r="D10" s="3" t="s">
        <v>73</v>
      </c>
      <c r="F10" s="45" t="s">
        <v>74</v>
      </c>
      <c r="G10" s="44"/>
    </row>
    <row r="11" spans="4:11" ht="14.4">
      <c r="D11" s="3" t="s">
        <v>75</v>
      </c>
    </row>
    <row r="12" spans="4:11" ht="14.4">
      <c r="D12" s="3" t="s">
        <v>76</v>
      </c>
      <c r="H12" s="3"/>
      <c r="I12" s="4"/>
      <c r="K12" s="43"/>
    </row>
    <row r="13" spans="4:11" ht="14.4">
      <c r="D13" s="3" t="s">
        <v>77</v>
      </c>
      <c r="H13" s="3"/>
      <c r="I13" s="4"/>
    </row>
    <row r="14" spans="4:11" ht="14.4">
      <c r="H14" s="3"/>
      <c r="I14" s="4"/>
      <c r="K14" s="43"/>
    </row>
    <row r="15" spans="4:11" ht="14.4">
      <c r="K15" s="43"/>
    </row>
    <row r="17" spans="5:10" ht="14.4">
      <c r="F17" s="4"/>
      <c r="G17" s="4"/>
    </row>
    <row r="18" spans="5:10" ht="14.4">
      <c r="F18" s="43"/>
      <c r="G18" s="4"/>
      <c r="J18" s="43"/>
    </row>
    <row r="19" spans="5:10" ht="14.4">
      <c r="F19" s="43"/>
      <c r="G19" s="4"/>
    </row>
    <row r="20" spans="5:10" ht="14.4">
      <c r="F20" s="43"/>
      <c r="G20" s="4"/>
    </row>
    <row r="21" spans="5:10" ht="15.75" customHeight="1">
      <c r="J21" s="4"/>
    </row>
    <row r="22" spans="5:10" ht="15.75" customHeight="1">
      <c r="J22" s="4"/>
    </row>
    <row r="23" spans="5:10" ht="15.75" customHeight="1">
      <c r="E23" s="4"/>
      <c r="F23" s="43"/>
      <c r="H23" s="4"/>
    </row>
    <row r="24" spans="5:10" ht="15.75" customHeight="1">
      <c r="E24" s="4"/>
      <c r="F24" s="43"/>
    </row>
    <row r="25" spans="5:10" ht="15.75" customHeight="1">
      <c r="F25" s="43"/>
    </row>
    <row r="26" spans="5:10" ht="15.75" customHeight="1"/>
    <row r="27" spans="5:10" ht="15.75" customHeight="1"/>
    <row r="28" spans="5:10" ht="15.75" customHeight="1"/>
    <row r="29" spans="5:10" ht="15.75" customHeight="1"/>
    <row r="30" spans="5:10" ht="15.75" customHeight="1"/>
    <row r="31" spans="5:10" ht="15.75" customHeight="1"/>
    <row r="32" spans="5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86EE853-6E53-4973-9818-E4AB447301FE}">
      <selection activeCell="K6" sqref="K6"/>
      <pageMargins left="0.7" right="0.7" top="0.75" bottom="0.75" header="0" footer="0"/>
      <pageSetup orientation="landscape"/>
    </customSheetView>
    <customSheetView guid="{06BAD8CE-1DBC-44C9-B316-806B0B5B5BBC}">
      <selection activeCell="K6" sqref="K6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Basics </vt:lpstr>
      <vt:lpstr>Find_Replace</vt:lpstr>
      <vt:lpstr>Text Functions</vt:lpstr>
      <vt:lpstr>Aggregate Functions</vt:lpstr>
      <vt:lpstr>Logical&amp;Comparitive Operators</vt:lpstr>
      <vt:lpstr>IF Functions</vt:lpstr>
      <vt:lpstr>Sumif,Averageif, Countif</vt:lpstr>
      <vt:lpstr>Datetime functions</vt:lpstr>
      <vt:lpstr>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Bhuvaneshwari Rebba</cp:lastModifiedBy>
  <dcterms:created xsi:type="dcterms:W3CDTF">2024-02-22T05:06:55Z</dcterms:created>
  <dcterms:modified xsi:type="dcterms:W3CDTF">2026-09-01T12:22:53Z</dcterms:modified>
</cp:coreProperties>
</file>