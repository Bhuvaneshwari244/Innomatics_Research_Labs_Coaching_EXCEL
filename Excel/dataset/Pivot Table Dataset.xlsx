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Excel\dataset\"/>
    </mc:Choice>
  </mc:AlternateContent>
  <xr:revisionPtr revIDLastSave="0" documentId="13_ncr:1_{CAF87214-F4C6-4D82-BB61-CAAEE0A438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1" l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</calcChain>
</file>

<file path=xl/sharedStrings.xml><?xml version="1.0" encoding="utf-8"?>
<sst xmlns="http://schemas.openxmlformats.org/spreadsheetml/2006/main" count="1427" uniqueCount="205">
  <si>
    <t>order_id</t>
  </si>
  <si>
    <t>customer_id</t>
  </si>
  <si>
    <t>city</t>
  </si>
  <si>
    <t>product_category</t>
  </si>
  <si>
    <t>product_name</t>
  </si>
  <si>
    <t>price</t>
  </si>
  <si>
    <t>quantity</t>
  </si>
  <si>
    <t>discount</t>
  </si>
  <si>
    <t>rating</t>
  </si>
  <si>
    <t>payment_method</t>
  </si>
  <si>
    <t>status</t>
  </si>
  <si>
    <t>order_date</t>
  </si>
  <si>
    <t>C009</t>
  </si>
  <si>
    <t>Hyderabad</t>
  </si>
  <si>
    <t>Electronics</t>
  </si>
  <si>
    <t>Wireless Headphones</t>
  </si>
  <si>
    <t>Cash on Delivery</t>
  </si>
  <si>
    <t>Delivered</t>
  </si>
  <si>
    <t>2025-01-04</t>
  </si>
  <si>
    <t>C036</t>
  </si>
  <si>
    <t>Chennai</t>
  </si>
  <si>
    <t>Bluetooth Speaker</t>
  </si>
  <si>
    <t>Credit Card</t>
  </si>
  <si>
    <t>Cancelled</t>
  </si>
  <si>
    <t>2025-03-17</t>
  </si>
  <si>
    <t>C022</t>
  </si>
  <si>
    <t>Pune</t>
  </si>
  <si>
    <t>Home</t>
  </si>
  <si>
    <t>Mixer Grinder</t>
  </si>
  <si>
    <t>2025-01-14</t>
  </si>
  <si>
    <t>C039</t>
  </si>
  <si>
    <t>Smart Watch</t>
  </si>
  <si>
    <t>Returned</t>
  </si>
  <si>
    <t>2025-01-16</t>
  </si>
  <si>
    <t>C037</t>
  </si>
  <si>
    <t>Beauty</t>
  </si>
  <si>
    <t>Face Cream</t>
  </si>
  <si>
    <t>UPI</t>
  </si>
  <si>
    <t>2025-01-30</t>
  </si>
  <si>
    <t>C025</t>
  </si>
  <si>
    <t>Debit Card</t>
  </si>
  <si>
    <t>2025-02-17</t>
  </si>
  <si>
    <t>Vacuum Cleaner</t>
  </si>
  <si>
    <t>2025-02-18</t>
  </si>
  <si>
    <t>C015</t>
  </si>
  <si>
    <t>Bangalore</t>
  </si>
  <si>
    <t>Water Bottle</t>
  </si>
  <si>
    <t>2025-01-09</t>
  </si>
  <si>
    <t>C026</t>
  </si>
  <si>
    <t>Clothing</t>
  </si>
  <si>
    <t>Jacket</t>
  </si>
  <si>
    <t>2025-02-01</t>
  </si>
  <si>
    <t>2025-04-21</t>
  </si>
  <si>
    <t>2025-03-01</t>
  </si>
  <si>
    <t>C044</t>
  </si>
  <si>
    <t>2025-02-07</t>
  </si>
  <si>
    <t>C033</t>
  </si>
  <si>
    <t>Perfume</t>
  </si>
  <si>
    <t>2025-03-06</t>
  </si>
  <si>
    <t>Women Jeans</t>
  </si>
  <si>
    <t>2025-04-29</t>
  </si>
  <si>
    <t>C006</t>
  </si>
  <si>
    <t>Gas Stove</t>
  </si>
  <si>
    <t>2025-03-26</t>
  </si>
  <si>
    <t>C014</t>
  </si>
  <si>
    <t>Face Wash</t>
  </si>
  <si>
    <t>2025-03-27</t>
  </si>
  <si>
    <t>LED Bulb Pack</t>
  </si>
  <si>
    <t>2025-03-12</t>
  </si>
  <si>
    <t>2025-03-07</t>
  </si>
  <si>
    <t>C047</t>
  </si>
  <si>
    <t>Kurti</t>
  </si>
  <si>
    <t>2025-04-14</t>
  </si>
  <si>
    <t>C023</t>
  </si>
  <si>
    <t>2025-01-07</t>
  </si>
  <si>
    <t>C016</t>
  </si>
  <si>
    <t>2025-02-24</t>
  </si>
  <si>
    <t>C029</t>
  </si>
  <si>
    <t>2025-03-11</t>
  </si>
  <si>
    <t>C032</t>
  </si>
  <si>
    <t>2025-01-22</t>
  </si>
  <si>
    <t>C019</t>
  </si>
  <si>
    <t>C004</t>
  </si>
  <si>
    <t>Men T-Shirt</t>
  </si>
  <si>
    <t>2025-01-11</t>
  </si>
  <si>
    <t>2025-01-17</t>
  </si>
  <si>
    <t>C040</t>
  </si>
  <si>
    <t>2025-01-28</t>
  </si>
  <si>
    <t>C024</t>
  </si>
  <si>
    <t>2025-04-01</t>
  </si>
  <si>
    <t>C043</t>
  </si>
  <si>
    <t>2025-04-24</t>
  </si>
  <si>
    <t>Keyboard</t>
  </si>
  <si>
    <t>2025-03-23</t>
  </si>
  <si>
    <t>2025-02-12</t>
  </si>
  <si>
    <t>Leggings</t>
  </si>
  <si>
    <t>2025-05-01</t>
  </si>
  <si>
    <t>C028</t>
  </si>
  <si>
    <t>2025-04-26</t>
  </si>
  <si>
    <t>Laptop Mouse</t>
  </si>
  <si>
    <t>C048</t>
  </si>
  <si>
    <t>2025-01-21</t>
  </si>
  <si>
    <t>2025-04-16</t>
  </si>
  <si>
    <t>C018</t>
  </si>
  <si>
    <t>C012</t>
  </si>
  <si>
    <t>2025-03-18</t>
  </si>
  <si>
    <t>Hair Dryer</t>
  </si>
  <si>
    <t>2025-02-10</t>
  </si>
  <si>
    <t>C021</t>
  </si>
  <si>
    <t>2025-02-23</t>
  </si>
  <si>
    <t>2025-02-25</t>
  </si>
  <si>
    <t>C041</t>
  </si>
  <si>
    <t>2025-02-21</t>
  </si>
  <si>
    <t>C050</t>
  </si>
  <si>
    <t>2025-03-08</t>
  </si>
  <si>
    <t>C030</t>
  </si>
  <si>
    <t>2025-03-20</t>
  </si>
  <si>
    <t>2025-03-04</t>
  </si>
  <si>
    <t>C046</t>
  </si>
  <si>
    <t>Lipstick</t>
  </si>
  <si>
    <t>2025-01-01</t>
  </si>
  <si>
    <t>C035</t>
  </si>
  <si>
    <t>2025-02-04</t>
  </si>
  <si>
    <t>2025-03-10</t>
  </si>
  <si>
    <t>2025-04-17</t>
  </si>
  <si>
    <t>2025-01-26</t>
  </si>
  <si>
    <t>Power Bank</t>
  </si>
  <si>
    <t>2025-02-02</t>
  </si>
  <si>
    <t>C005</t>
  </si>
  <si>
    <t>2025-04-09</t>
  </si>
  <si>
    <t>C007</t>
  </si>
  <si>
    <t>2025-01-20</t>
  </si>
  <si>
    <t>2025-02-13</t>
  </si>
  <si>
    <t>C034</t>
  </si>
  <si>
    <t>2025-02-22</t>
  </si>
  <si>
    <t>C042</t>
  </si>
  <si>
    <t>C031</t>
  </si>
  <si>
    <t>Saree</t>
  </si>
  <si>
    <t>C017</t>
  </si>
  <si>
    <t>2025-01-23</t>
  </si>
  <si>
    <t>C003</t>
  </si>
  <si>
    <t>2025-04-22</t>
  </si>
  <si>
    <t>2025-04-27</t>
  </si>
  <si>
    <t>2025-03-22</t>
  </si>
  <si>
    <t>2025-01-10</t>
  </si>
  <si>
    <t>C049</t>
  </si>
  <si>
    <t>2025-02-11</t>
  </si>
  <si>
    <t>2025-01-25</t>
  </si>
  <si>
    <t>2025-04-28</t>
  </si>
  <si>
    <t>C001</t>
  </si>
  <si>
    <t>2025-02-27</t>
  </si>
  <si>
    <t>2025-02-19</t>
  </si>
  <si>
    <t>2025-01-05</t>
  </si>
  <si>
    <t>2025-01-19</t>
  </si>
  <si>
    <t>2025-04-20</t>
  </si>
  <si>
    <t>2025-04-06</t>
  </si>
  <si>
    <t>C045</t>
  </si>
  <si>
    <t>2025-04-12</t>
  </si>
  <si>
    <t>2025-01-02</t>
  </si>
  <si>
    <t>C020</t>
  </si>
  <si>
    <t>2025-04-03</t>
  </si>
  <si>
    <t>2025-03-28</t>
  </si>
  <si>
    <t>2025-01-13</t>
  </si>
  <si>
    <t>2025-03-25</t>
  </si>
  <si>
    <t>2025-01-31</t>
  </si>
  <si>
    <t>2025-04-19</t>
  </si>
  <si>
    <t>2025-01-27</t>
  </si>
  <si>
    <t>2025-02-03</t>
  </si>
  <si>
    <t>2025-03-19</t>
  </si>
  <si>
    <t>2025-03-13</t>
  </si>
  <si>
    <t>2025-03-15</t>
  </si>
  <si>
    <t>2025-03-31</t>
  </si>
  <si>
    <t>C027</t>
  </si>
  <si>
    <t>2025-02-09</t>
  </si>
  <si>
    <t>C010</t>
  </si>
  <si>
    <t>2025-02-26</t>
  </si>
  <si>
    <t>2025-01-15</t>
  </si>
  <si>
    <t>C011</t>
  </si>
  <si>
    <t>2025-04-10</t>
  </si>
  <si>
    <t>2025-04-07</t>
  </si>
  <si>
    <t>2025-02-16</t>
  </si>
  <si>
    <t>2025-04-15</t>
  </si>
  <si>
    <t>2025-04-30</t>
  </si>
  <si>
    <t>C008</t>
  </si>
  <si>
    <t>2025-02-14</t>
  </si>
  <si>
    <t>2025-01-06</t>
  </si>
  <si>
    <t>C002</t>
  </si>
  <si>
    <t>2025-04-05</t>
  </si>
  <si>
    <t>2025-02-06</t>
  </si>
  <si>
    <t>2025-01-29</t>
  </si>
  <si>
    <t>2025-04-25</t>
  </si>
  <si>
    <t>2025-03-24</t>
  </si>
  <si>
    <t>2025-03-05</t>
  </si>
  <si>
    <t>2025-03-16</t>
  </si>
  <si>
    <t>2025-01-18</t>
  </si>
  <si>
    <t>2025-02-20</t>
  </si>
  <si>
    <t>C013</t>
  </si>
  <si>
    <t>2025-04-11</t>
  </si>
  <si>
    <t>2025-03-30</t>
  </si>
  <si>
    <t>2025-03-02</t>
  </si>
  <si>
    <t>Total Price</t>
  </si>
  <si>
    <t>Row Labels</t>
  </si>
  <si>
    <t>Grand Total</t>
  </si>
  <si>
    <t>Sum of price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</si>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</sst>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vaneshwari Rebba" refreshedDate="46266.735016550927" createdVersion="8" refreshedVersion="8" minRefreshableVersion="3" recordCount="200" xr:uid="{7D7A031C-1449-4E4B-BC83-7ACD7E9E06C0}">
  <cacheSource type="worksheet">
    <worksheetSource ref="A1:M201" sheet="Sheet1"/>
  </cacheSource>
  <cacheFields count="13">
    <cacheField name="order_id" numFmtId="0">
      <sharedItems containsSemiMixedTypes="0" containsString="0" containsNumber="1" containsInteger="1" minValue="1001" maxValue="1200"/>
    </cacheField>
    <cacheField name="customer_id" numFmtId="0">
      <sharedItems/>
    </cacheField>
    <cacheField name="city" numFmtId="0">
      <sharedItems count="4">
        <s v="Hyderabad"/>
        <s v="Chennai"/>
        <s v="Pune"/>
        <s v="Bangalore"/>
      </sharedItems>
    </cacheField>
    <cacheField name="product_category" numFmtId="0">
      <sharedItems count="4">
        <s v="Electronics"/>
        <s v="Home"/>
        <s v="Beauty"/>
        <s v="Clothing"/>
      </sharedItems>
    </cacheField>
    <cacheField name="product_name" numFmtId="0">
      <sharedItems/>
    </cacheField>
    <cacheField name="price" numFmtId="0">
      <sharedItems containsSemiMixedTypes="0" containsString="0" containsNumber="1" containsInteger="1" minValue="607" maxValue="14741"/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containsInteger="1" minValue="2" maxValue="498"/>
    </cacheField>
    <cacheField name="rating" numFmtId="0">
      <sharedItems containsSemiMixedTypes="0" containsString="0" containsNumber="1" containsInteger="1" minValue="2" maxValue="5"/>
    </cacheField>
    <cacheField name="payment_method" numFmtId="0">
      <sharedItems count="4">
        <s v="Cash on Delivery"/>
        <s v="Credit Card"/>
        <s v="UPI"/>
        <s v="Debit Card"/>
      </sharedItems>
    </cacheField>
    <cacheField name="status" numFmtId="0">
      <sharedItems/>
    </cacheField>
    <cacheField name="order_date" numFmtId="0">
      <sharedItems/>
    </cacheField>
    <cacheField name="Total Price" numFmtId="0">
      <sharedItems containsSemiMixedTypes="0" containsString="0" containsNumber="1" containsInteger="1" minValue="1170" maxValue="717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01"/>
    <s v="C009"/>
    <x v="0"/>
    <x v="0"/>
    <s v="Wireless Headphones"/>
    <n v="12449"/>
    <n v="3"/>
    <n v="125"/>
    <n v="3"/>
    <x v="0"/>
    <s v="Delivered"/>
    <s v="2025-01-04"/>
    <n v="37222"/>
  </r>
  <r>
    <n v="1002"/>
    <s v="C036"/>
    <x v="1"/>
    <x v="0"/>
    <s v="Bluetooth Speaker"/>
    <n v="4111"/>
    <n v="5"/>
    <n v="308"/>
    <n v="2"/>
    <x v="1"/>
    <s v="Cancelled"/>
    <s v="2025-03-17"/>
    <n v="20247"/>
  </r>
  <r>
    <n v="1003"/>
    <s v="C022"/>
    <x v="2"/>
    <x v="1"/>
    <s v="Mixer Grinder"/>
    <n v="12732"/>
    <n v="2"/>
    <n v="357"/>
    <n v="5"/>
    <x v="1"/>
    <s v="Cancelled"/>
    <s v="2025-01-14"/>
    <n v="25107"/>
  </r>
  <r>
    <n v="1004"/>
    <s v="C039"/>
    <x v="0"/>
    <x v="0"/>
    <s v="Smart Watch"/>
    <n v="1884"/>
    <n v="3"/>
    <n v="433"/>
    <n v="4"/>
    <x v="0"/>
    <s v="Returned"/>
    <s v="2025-01-16"/>
    <n v="5219"/>
  </r>
  <r>
    <n v="1005"/>
    <s v="C037"/>
    <x v="0"/>
    <x v="2"/>
    <s v="Face Cream"/>
    <n v="9344"/>
    <n v="3"/>
    <n v="424"/>
    <n v="4"/>
    <x v="2"/>
    <s v="Returned"/>
    <s v="2025-01-30"/>
    <n v="27608"/>
  </r>
  <r>
    <n v="1006"/>
    <s v="C025"/>
    <x v="1"/>
    <x v="1"/>
    <s v="Mixer Grinder"/>
    <n v="14313"/>
    <n v="2"/>
    <n v="443"/>
    <n v="2"/>
    <x v="3"/>
    <s v="Delivered"/>
    <s v="2025-02-17"/>
    <n v="28183"/>
  </r>
  <r>
    <n v="1007"/>
    <s v="C039"/>
    <x v="2"/>
    <x v="1"/>
    <s v="Vacuum Cleaner"/>
    <n v="11280"/>
    <n v="3"/>
    <n v="359"/>
    <n v="2"/>
    <x v="1"/>
    <s v="Cancelled"/>
    <s v="2025-02-18"/>
    <n v="33481"/>
  </r>
  <r>
    <n v="1008"/>
    <s v="C015"/>
    <x v="3"/>
    <x v="1"/>
    <s v="Water Bottle"/>
    <n v="3898"/>
    <n v="3"/>
    <n v="431"/>
    <n v="2"/>
    <x v="0"/>
    <s v="Cancelled"/>
    <s v="2025-01-09"/>
    <n v="11263"/>
  </r>
  <r>
    <n v="1009"/>
    <s v="C026"/>
    <x v="2"/>
    <x v="3"/>
    <s v="Jacket"/>
    <n v="14658"/>
    <n v="3"/>
    <n v="108"/>
    <n v="5"/>
    <x v="3"/>
    <s v="Delivered"/>
    <s v="2025-02-01"/>
    <n v="43866"/>
  </r>
  <r>
    <n v="1010"/>
    <s v="C015"/>
    <x v="1"/>
    <x v="1"/>
    <s v="Water Bottle"/>
    <n v="7319"/>
    <n v="5"/>
    <n v="204"/>
    <n v="4"/>
    <x v="2"/>
    <s v="Delivered"/>
    <s v="2025-04-21"/>
    <n v="36391"/>
  </r>
  <r>
    <n v="1011"/>
    <s v="C039"/>
    <x v="1"/>
    <x v="0"/>
    <s v="Bluetooth Speaker"/>
    <n v="10580"/>
    <n v="2"/>
    <n v="405"/>
    <n v="5"/>
    <x v="0"/>
    <s v="Returned"/>
    <s v="2025-03-01"/>
    <n v="20755"/>
  </r>
  <r>
    <n v="1012"/>
    <s v="C044"/>
    <x v="3"/>
    <x v="1"/>
    <s v="Water Bottle"/>
    <n v="14403"/>
    <n v="1"/>
    <n v="348"/>
    <n v="2"/>
    <x v="3"/>
    <s v="Delivered"/>
    <s v="2025-02-07"/>
    <n v="14055"/>
  </r>
  <r>
    <n v="1013"/>
    <s v="C033"/>
    <x v="0"/>
    <x v="2"/>
    <s v="Perfume"/>
    <n v="7733"/>
    <n v="1"/>
    <n v="488"/>
    <n v="4"/>
    <x v="3"/>
    <s v="Returned"/>
    <s v="2025-03-06"/>
    <n v="7245"/>
  </r>
  <r>
    <n v="1014"/>
    <s v="C039"/>
    <x v="1"/>
    <x v="3"/>
    <s v="Women Jeans"/>
    <n v="6426"/>
    <n v="2"/>
    <n v="276"/>
    <n v="2"/>
    <x v="2"/>
    <s v="Delivered"/>
    <s v="2025-04-29"/>
    <n v="12576"/>
  </r>
  <r>
    <n v="1015"/>
    <s v="C006"/>
    <x v="0"/>
    <x v="1"/>
    <s v="Gas Stove"/>
    <n v="4223"/>
    <n v="1"/>
    <n v="123"/>
    <n v="2"/>
    <x v="1"/>
    <s v="Delivered"/>
    <s v="2025-03-26"/>
    <n v="4100"/>
  </r>
  <r>
    <n v="1016"/>
    <s v="C014"/>
    <x v="2"/>
    <x v="2"/>
    <s v="Face Wash"/>
    <n v="3005"/>
    <n v="3"/>
    <n v="270"/>
    <n v="5"/>
    <x v="3"/>
    <s v="Cancelled"/>
    <s v="2025-03-27"/>
    <n v="8745"/>
  </r>
  <r>
    <n v="1017"/>
    <s v="C015"/>
    <x v="3"/>
    <x v="1"/>
    <s v="LED Bulb Pack"/>
    <n v="8779"/>
    <n v="4"/>
    <n v="61"/>
    <n v="3"/>
    <x v="2"/>
    <s v="Returned"/>
    <s v="2025-03-12"/>
    <n v="35055"/>
  </r>
  <r>
    <n v="1018"/>
    <s v="C015"/>
    <x v="0"/>
    <x v="3"/>
    <s v="Jacket"/>
    <n v="3908"/>
    <n v="1"/>
    <n v="36"/>
    <n v="2"/>
    <x v="3"/>
    <s v="Delivered"/>
    <s v="2025-03-07"/>
    <n v="3872"/>
  </r>
  <r>
    <n v="1019"/>
    <s v="C047"/>
    <x v="1"/>
    <x v="3"/>
    <s v="Kurti"/>
    <n v="11260"/>
    <n v="4"/>
    <n v="109"/>
    <n v="3"/>
    <x v="1"/>
    <s v="Cancelled"/>
    <s v="2025-04-14"/>
    <n v="44931"/>
  </r>
  <r>
    <n v="1020"/>
    <s v="C023"/>
    <x v="1"/>
    <x v="2"/>
    <s v="Perfume"/>
    <n v="1845"/>
    <n v="1"/>
    <n v="337"/>
    <n v="5"/>
    <x v="0"/>
    <s v="Returned"/>
    <s v="2025-01-07"/>
    <n v="1508"/>
  </r>
  <r>
    <n v="1021"/>
    <s v="C016"/>
    <x v="2"/>
    <x v="0"/>
    <s v="Wireless Headphones"/>
    <n v="6896"/>
    <n v="3"/>
    <n v="409"/>
    <n v="2"/>
    <x v="0"/>
    <s v="Delivered"/>
    <s v="2025-02-24"/>
    <n v="20279"/>
  </r>
  <r>
    <n v="1022"/>
    <s v="C029"/>
    <x v="0"/>
    <x v="3"/>
    <s v="Kurti"/>
    <n v="7879"/>
    <n v="2"/>
    <n v="447"/>
    <n v="2"/>
    <x v="2"/>
    <s v="Returned"/>
    <s v="2025-03-11"/>
    <n v="15311"/>
  </r>
  <r>
    <n v="1023"/>
    <s v="C032"/>
    <x v="2"/>
    <x v="0"/>
    <s v="Wireless Headphones"/>
    <n v="12646"/>
    <n v="2"/>
    <n v="85"/>
    <n v="5"/>
    <x v="0"/>
    <s v="Delivered"/>
    <s v="2025-01-22"/>
    <n v="25207"/>
  </r>
  <r>
    <n v="1024"/>
    <s v="C019"/>
    <x v="1"/>
    <x v="2"/>
    <s v="Face Cream"/>
    <n v="6696"/>
    <n v="3"/>
    <n v="474"/>
    <n v="5"/>
    <x v="1"/>
    <s v="Delivered"/>
    <s v="2025-02-07"/>
    <n v="19614"/>
  </r>
  <r>
    <n v="1025"/>
    <s v="C004"/>
    <x v="1"/>
    <x v="3"/>
    <s v="Men T-Shirt"/>
    <n v="9789"/>
    <n v="5"/>
    <n v="31"/>
    <n v="4"/>
    <x v="1"/>
    <s v="Delivered"/>
    <s v="2025-03-07"/>
    <n v="48914"/>
  </r>
  <r>
    <n v="1026"/>
    <s v="C026"/>
    <x v="2"/>
    <x v="0"/>
    <s v="Bluetooth Speaker"/>
    <n v="1422"/>
    <n v="5"/>
    <n v="34"/>
    <n v="3"/>
    <x v="2"/>
    <s v="Returned"/>
    <s v="2025-01-11"/>
    <n v="7076"/>
  </r>
  <r>
    <n v="1027"/>
    <s v="C014"/>
    <x v="2"/>
    <x v="2"/>
    <s v="Face Wash"/>
    <n v="9560"/>
    <n v="5"/>
    <n v="161"/>
    <n v="4"/>
    <x v="3"/>
    <s v="Cancelled"/>
    <s v="2025-01-17"/>
    <n v="47639"/>
  </r>
  <r>
    <n v="1028"/>
    <s v="C040"/>
    <x v="0"/>
    <x v="1"/>
    <s v="LED Bulb Pack"/>
    <n v="5480"/>
    <n v="1"/>
    <n v="4"/>
    <n v="5"/>
    <x v="2"/>
    <s v="Returned"/>
    <s v="2025-01-28"/>
    <n v="5476"/>
  </r>
  <r>
    <n v="1029"/>
    <s v="C024"/>
    <x v="2"/>
    <x v="1"/>
    <s v="Vacuum Cleaner"/>
    <n v="6018"/>
    <n v="1"/>
    <n v="450"/>
    <n v="3"/>
    <x v="0"/>
    <s v="Returned"/>
    <s v="2025-04-01"/>
    <n v="5568"/>
  </r>
  <r>
    <n v="1030"/>
    <s v="C043"/>
    <x v="2"/>
    <x v="1"/>
    <s v="Water Bottle"/>
    <n v="13523"/>
    <n v="5"/>
    <n v="4"/>
    <n v="4"/>
    <x v="3"/>
    <s v="Delivered"/>
    <s v="2025-04-24"/>
    <n v="67611"/>
  </r>
  <r>
    <n v="1031"/>
    <s v="C039"/>
    <x v="3"/>
    <x v="0"/>
    <s v="Keyboard"/>
    <n v="9364"/>
    <n v="2"/>
    <n v="139"/>
    <n v="4"/>
    <x v="1"/>
    <s v="Returned"/>
    <s v="2025-03-23"/>
    <n v="18589"/>
  </r>
  <r>
    <n v="1032"/>
    <s v="C006"/>
    <x v="3"/>
    <x v="1"/>
    <s v="Water Bottle"/>
    <n v="8304"/>
    <n v="3"/>
    <n v="463"/>
    <n v="2"/>
    <x v="2"/>
    <s v="Delivered"/>
    <s v="2025-02-12"/>
    <n v="24449"/>
  </r>
  <r>
    <n v="1033"/>
    <s v="C036"/>
    <x v="0"/>
    <x v="3"/>
    <s v="Leggings"/>
    <n v="4591"/>
    <n v="2"/>
    <n v="379"/>
    <n v="5"/>
    <x v="2"/>
    <s v="Delivered"/>
    <s v="2025-05-01"/>
    <n v="8803"/>
  </r>
  <r>
    <n v="1034"/>
    <s v="C028"/>
    <x v="0"/>
    <x v="3"/>
    <s v="Jacket"/>
    <n v="890"/>
    <n v="3"/>
    <n v="298"/>
    <n v="3"/>
    <x v="3"/>
    <s v="Cancelled"/>
    <s v="2025-04-26"/>
    <n v="2372"/>
  </r>
  <r>
    <n v="1035"/>
    <s v="C023"/>
    <x v="1"/>
    <x v="0"/>
    <s v="Laptop Mouse"/>
    <n v="3741"/>
    <n v="2"/>
    <n v="341"/>
    <n v="2"/>
    <x v="1"/>
    <s v="Delivered"/>
    <s v="2025-04-21"/>
    <n v="7141"/>
  </r>
  <r>
    <n v="1036"/>
    <s v="C048"/>
    <x v="1"/>
    <x v="3"/>
    <s v="Women Jeans"/>
    <n v="14741"/>
    <n v="4"/>
    <n v="12"/>
    <n v="3"/>
    <x v="1"/>
    <s v="Cancelled"/>
    <s v="2025-01-21"/>
    <n v="58952"/>
  </r>
  <r>
    <n v="1037"/>
    <s v="C015"/>
    <x v="1"/>
    <x v="0"/>
    <s v="Smart Watch"/>
    <n v="14589"/>
    <n v="1"/>
    <n v="439"/>
    <n v="5"/>
    <x v="3"/>
    <s v="Cancelled"/>
    <s v="2025-04-16"/>
    <n v="14150"/>
  </r>
  <r>
    <n v="1038"/>
    <s v="C018"/>
    <x v="3"/>
    <x v="3"/>
    <s v="Women Jeans"/>
    <n v="687"/>
    <n v="2"/>
    <n v="204"/>
    <n v="4"/>
    <x v="3"/>
    <s v="Returned"/>
    <s v="2025-03-07"/>
    <n v="1170"/>
  </r>
  <r>
    <n v="1039"/>
    <s v="C012"/>
    <x v="3"/>
    <x v="2"/>
    <s v="Face Wash"/>
    <n v="5725"/>
    <n v="1"/>
    <n v="59"/>
    <n v="4"/>
    <x v="2"/>
    <s v="Delivered"/>
    <s v="2025-03-18"/>
    <n v="5666"/>
  </r>
  <r>
    <n v="1040"/>
    <s v="C025"/>
    <x v="2"/>
    <x v="2"/>
    <s v="Hair Dryer"/>
    <n v="12236"/>
    <n v="3"/>
    <n v="223"/>
    <n v="2"/>
    <x v="3"/>
    <s v="Delivered"/>
    <s v="2025-04-01"/>
    <n v="36485"/>
  </r>
  <r>
    <n v="1041"/>
    <s v="C024"/>
    <x v="0"/>
    <x v="2"/>
    <s v="Face Cream"/>
    <n v="8818"/>
    <n v="5"/>
    <n v="351"/>
    <n v="3"/>
    <x v="3"/>
    <s v="Returned"/>
    <s v="2025-02-10"/>
    <n v="43739"/>
  </r>
  <r>
    <n v="1042"/>
    <s v="C021"/>
    <x v="3"/>
    <x v="0"/>
    <s v="Keyboard"/>
    <n v="5220"/>
    <n v="5"/>
    <n v="158"/>
    <n v="5"/>
    <x v="1"/>
    <s v="Delivered"/>
    <s v="2025-02-23"/>
    <n v="25942"/>
  </r>
  <r>
    <n v="1043"/>
    <s v="C036"/>
    <x v="3"/>
    <x v="2"/>
    <s v="Perfume"/>
    <n v="10384"/>
    <n v="5"/>
    <n v="154"/>
    <n v="5"/>
    <x v="3"/>
    <s v="Delivered"/>
    <s v="2025-02-25"/>
    <n v="51766"/>
  </r>
  <r>
    <n v="1044"/>
    <s v="C033"/>
    <x v="2"/>
    <x v="1"/>
    <s v="LED Bulb Pack"/>
    <n v="7538"/>
    <n v="4"/>
    <n v="345"/>
    <n v="3"/>
    <x v="2"/>
    <s v="Cancelled"/>
    <s v="2025-03-07"/>
    <n v="29807"/>
  </r>
  <r>
    <n v="1045"/>
    <s v="C015"/>
    <x v="2"/>
    <x v="1"/>
    <s v="Mixer Grinder"/>
    <n v="13709"/>
    <n v="2"/>
    <n v="344"/>
    <n v="4"/>
    <x v="2"/>
    <s v="Delivered"/>
    <s v="2025-02-01"/>
    <n v="27074"/>
  </r>
  <r>
    <n v="1046"/>
    <s v="C041"/>
    <x v="2"/>
    <x v="2"/>
    <s v="Face Wash"/>
    <n v="14222"/>
    <n v="1"/>
    <n v="233"/>
    <n v="5"/>
    <x v="0"/>
    <s v="Cancelled"/>
    <s v="2025-02-21"/>
    <n v="13989"/>
  </r>
  <r>
    <n v="1047"/>
    <s v="C050"/>
    <x v="2"/>
    <x v="3"/>
    <s v="Women Jeans"/>
    <n v="11048"/>
    <n v="1"/>
    <n v="457"/>
    <n v="2"/>
    <x v="1"/>
    <s v="Returned"/>
    <s v="2025-03-08"/>
    <n v="10591"/>
  </r>
  <r>
    <n v="1048"/>
    <s v="C030"/>
    <x v="1"/>
    <x v="2"/>
    <s v="Face Cream"/>
    <n v="9432"/>
    <n v="2"/>
    <n v="469"/>
    <n v="2"/>
    <x v="3"/>
    <s v="Cancelled"/>
    <s v="2025-03-20"/>
    <n v="18395"/>
  </r>
  <r>
    <n v="1049"/>
    <s v="C029"/>
    <x v="2"/>
    <x v="2"/>
    <s v="Face Wash"/>
    <n v="7605"/>
    <n v="2"/>
    <n v="380"/>
    <n v="5"/>
    <x v="3"/>
    <s v="Returned"/>
    <s v="2025-03-04"/>
    <n v="14830"/>
  </r>
  <r>
    <n v="1050"/>
    <s v="C016"/>
    <x v="3"/>
    <x v="3"/>
    <s v="Kurti"/>
    <n v="7506"/>
    <n v="1"/>
    <n v="365"/>
    <n v="4"/>
    <x v="3"/>
    <s v="Returned"/>
    <s v="2025-01-11"/>
    <n v="7141"/>
  </r>
  <r>
    <n v="1051"/>
    <s v="C046"/>
    <x v="0"/>
    <x v="3"/>
    <s v="Women Jeans"/>
    <n v="4088"/>
    <n v="4"/>
    <n v="355"/>
    <n v="3"/>
    <x v="0"/>
    <s v="Cancelled"/>
    <s v="2025-02-12"/>
    <n v="15997"/>
  </r>
  <r>
    <n v="1052"/>
    <s v="C025"/>
    <x v="0"/>
    <x v="2"/>
    <s v="Lipstick"/>
    <n v="1320"/>
    <n v="2"/>
    <n v="426"/>
    <n v="5"/>
    <x v="0"/>
    <s v="Cancelled"/>
    <s v="2025-01-01"/>
    <n v="2214"/>
  </r>
  <r>
    <n v="1053"/>
    <s v="C035"/>
    <x v="2"/>
    <x v="1"/>
    <s v="Gas Stove"/>
    <n v="12644"/>
    <n v="4"/>
    <n v="436"/>
    <n v="5"/>
    <x v="0"/>
    <s v="Delivered"/>
    <s v="2025-02-04"/>
    <n v="50140"/>
  </r>
  <r>
    <n v="1054"/>
    <s v="C047"/>
    <x v="1"/>
    <x v="2"/>
    <s v="Lipstick"/>
    <n v="775"/>
    <n v="4"/>
    <n v="172"/>
    <n v="5"/>
    <x v="1"/>
    <s v="Returned"/>
    <s v="2025-03-10"/>
    <n v="2928"/>
  </r>
  <r>
    <n v="1055"/>
    <s v="C006"/>
    <x v="2"/>
    <x v="0"/>
    <s v="Smart Watch"/>
    <n v="9997"/>
    <n v="5"/>
    <n v="339"/>
    <n v="2"/>
    <x v="0"/>
    <s v="Delivered"/>
    <s v="2025-01-07"/>
    <n v="49646"/>
  </r>
  <r>
    <n v="1056"/>
    <s v="C022"/>
    <x v="3"/>
    <x v="1"/>
    <s v="LED Bulb Pack"/>
    <n v="5663"/>
    <n v="2"/>
    <n v="232"/>
    <n v="4"/>
    <x v="0"/>
    <s v="Cancelled"/>
    <s v="2025-04-17"/>
    <n v="11094"/>
  </r>
  <r>
    <n v="1057"/>
    <s v="C015"/>
    <x v="0"/>
    <x v="0"/>
    <s v="Smart Watch"/>
    <n v="617"/>
    <n v="5"/>
    <n v="26"/>
    <n v="4"/>
    <x v="2"/>
    <s v="Delivered"/>
    <s v="2025-01-26"/>
    <n v="3059"/>
  </r>
  <r>
    <n v="1058"/>
    <s v="C043"/>
    <x v="2"/>
    <x v="0"/>
    <s v="Power Bank"/>
    <n v="2796"/>
    <n v="2"/>
    <n v="64"/>
    <n v="5"/>
    <x v="0"/>
    <s v="Returned"/>
    <s v="2025-02-02"/>
    <n v="5528"/>
  </r>
  <r>
    <n v="1059"/>
    <s v="C050"/>
    <x v="3"/>
    <x v="1"/>
    <s v="Vacuum Cleaner"/>
    <n v="10226"/>
    <n v="5"/>
    <n v="493"/>
    <n v="2"/>
    <x v="2"/>
    <s v="Returned"/>
    <s v="2025-01-04"/>
    <n v="50637"/>
  </r>
  <r>
    <n v="1060"/>
    <s v="C005"/>
    <x v="2"/>
    <x v="1"/>
    <s v="Water Bottle"/>
    <n v="11397"/>
    <n v="4"/>
    <n v="203"/>
    <n v="3"/>
    <x v="2"/>
    <s v="Returned"/>
    <s v="2025-04-09"/>
    <n v="45385"/>
  </r>
  <r>
    <n v="1061"/>
    <s v="C023"/>
    <x v="1"/>
    <x v="1"/>
    <s v="Water Bottle"/>
    <n v="13497"/>
    <n v="1"/>
    <n v="407"/>
    <n v="2"/>
    <x v="3"/>
    <s v="Delivered"/>
    <s v="2025-03-06"/>
    <n v="13090"/>
  </r>
  <r>
    <n v="1062"/>
    <s v="C007"/>
    <x v="3"/>
    <x v="1"/>
    <s v="Mixer Grinder"/>
    <n v="14219"/>
    <n v="4"/>
    <n v="421"/>
    <n v="5"/>
    <x v="0"/>
    <s v="Returned"/>
    <s v="2025-01-20"/>
    <n v="56455"/>
  </r>
  <r>
    <n v="1063"/>
    <s v="C040"/>
    <x v="1"/>
    <x v="2"/>
    <s v="Perfume"/>
    <n v="12322"/>
    <n v="5"/>
    <n v="494"/>
    <n v="4"/>
    <x v="0"/>
    <s v="Cancelled"/>
    <s v="2025-04-16"/>
    <n v="61116"/>
  </r>
  <r>
    <n v="1064"/>
    <s v="C018"/>
    <x v="2"/>
    <x v="1"/>
    <s v="Gas Stove"/>
    <n v="14254"/>
    <n v="2"/>
    <n v="425"/>
    <n v="2"/>
    <x v="0"/>
    <s v="Returned"/>
    <s v="2025-03-20"/>
    <n v="28083"/>
  </r>
  <r>
    <n v="1065"/>
    <s v="C012"/>
    <x v="2"/>
    <x v="2"/>
    <s v="Hair Dryer"/>
    <n v="770"/>
    <n v="4"/>
    <n v="435"/>
    <n v="4"/>
    <x v="3"/>
    <s v="Cancelled"/>
    <s v="2025-02-13"/>
    <n v="2645"/>
  </r>
  <r>
    <n v="1066"/>
    <s v="C034"/>
    <x v="0"/>
    <x v="1"/>
    <s v="Water Bottle"/>
    <n v="11788"/>
    <n v="3"/>
    <n v="284"/>
    <n v="2"/>
    <x v="1"/>
    <s v="Returned"/>
    <s v="2025-02-22"/>
    <n v="35080"/>
  </r>
  <r>
    <n v="1067"/>
    <s v="C042"/>
    <x v="1"/>
    <x v="2"/>
    <s v="Face Wash"/>
    <n v="12721"/>
    <n v="2"/>
    <n v="353"/>
    <n v="5"/>
    <x v="2"/>
    <s v="Delivered"/>
    <s v="2025-02-07"/>
    <n v="25089"/>
  </r>
  <r>
    <n v="1068"/>
    <s v="C031"/>
    <x v="3"/>
    <x v="3"/>
    <s v="Saree"/>
    <n v="11634"/>
    <n v="2"/>
    <n v="156"/>
    <n v="4"/>
    <x v="0"/>
    <s v="Returned"/>
    <s v="2025-03-12"/>
    <n v="23112"/>
  </r>
  <r>
    <n v="1069"/>
    <s v="C017"/>
    <x v="0"/>
    <x v="1"/>
    <s v="Gas Stove"/>
    <n v="11815"/>
    <n v="4"/>
    <n v="138"/>
    <n v="4"/>
    <x v="1"/>
    <s v="Cancelled"/>
    <s v="2025-01-16"/>
    <n v="47122"/>
  </r>
  <r>
    <n v="1070"/>
    <s v="C007"/>
    <x v="3"/>
    <x v="3"/>
    <s v="Women Jeans"/>
    <n v="3845"/>
    <n v="4"/>
    <n v="141"/>
    <n v="4"/>
    <x v="1"/>
    <s v="Cancelled"/>
    <s v="2025-01-23"/>
    <n v="15239"/>
  </r>
  <r>
    <n v="1071"/>
    <s v="C003"/>
    <x v="3"/>
    <x v="1"/>
    <s v="Mixer Grinder"/>
    <n v="11900"/>
    <n v="5"/>
    <n v="64"/>
    <n v="4"/>
    <x v="1"/>
    <s v="Returned"/>
    <s v="2025-04-22"/>
    <n v="59436"/>
  </r>
  <r>
    <n v="1072"/>
    <s v="C031"/>
    <x v="1"/>
    <x v="2"/>
    <s v="Face Cream"/>
    <n v="14598"/>
    <n v="1"/>
    <n v="293"/>
    <n v="4"/>
    <x v="3"/>
    <s v="Delivered"/>
    <s v="2025-01-07"/>
    <n v="14305"/>
  </r>
  <r>
    <n v="1073"/>
    <s v="C005"/>
    <x v="0"/>
    <x v="1"/>
    <s v="LED Bulb Pack"/>
    <n v="2169"/>
    <n v="1"/>
    <n v="205"/>
    <n v="5"/>
    <x v="1"/>
    <s v="Delivered"/>
    <s v="2025-04-14"/>
    <n v="1964"/>
  </r>
  <r>
    <n v="1074"/>
    <s v="C039"/>
    <x v="2"/>
    <x v="1"/>
    <s v="Mixer Grinder"/>
    <n v="4366"/>
    <n v="1"/>
    <n v="285"/>
    <n v="5"/>
    <x v="0"/>
    <s v="Cancelled"/>
    <s v="2025-04-27"/>
    <n v="4081"/>
  </r>
  <r>
    <n v="1075"/>
    <s v="C037"/>
    <x v="0"/>
    <x v="2"/>
    <s v="Hair Dryer"/>
    <n v="14392"/>
    <n v="5"/>
    <n v="219"/>
    <n v="4"/>
    <x v="2"/>
    <s v="Delivered"/>
    <s v="2025-03-22"/>
    <n v="71741"/>
  </r>
  <r>
    <n v="1076"/>
    <s v="C012"/>
    <x v="0"/>
    <x v="3"/>
    <s v="Kurti"/>
    <n v="11120"/>
    <n v="1"/>
    <n v="80"/>
    <n v="3"/>
    <x v="1"/>
    <s v="Delivered"/>
    <s v="2025-02-22"/>
    <n v="11040"/>
  </r>
  <r>
    <n v="1077"/>
    <s v="C019"/>
    <x v="1"/>
    <x v="2"/>
    <s v="Face Wash"/>
    <n v="7999"/>
    <n v="3"/>
    <n v="16"/>
    <n v="3"/>
    <x v="2"/>
    <s v="Returned"/>
    <s v="2025-01-30"/>
    <n v="23981"/>
  </r>
  <r>
    <n v="1078"/>
    <s v="C035"/>
    <x v="2"/>
    <x v="1"/>
    <s v="Water Bottle"/>
    <n v="11132"/>
    <n v="2"/>
    <n v="217"/>
    <n v="2"/>
    <x v="3"/>
    <s v="Delivered"/>
    <s v="2025-01-10"/>
    <n v="22047"/>
  </r>
  <r>
    <n v="1079"/>
    <s v="C029"/>
    <x v="1"/>
    <x v="0"/>
    <s v="Bluetooth Speaker"/>
    <n v="13286"/>
    <n v="3"/>
    <n v="304"/>
    <n v="4"/>
    <x v="3"/>
    <s v="Returned"/>
    <s v="2025-02-21"/>
    <n v="39554"/>
  </r>
  <r>
    <n v="1080"/>
    <s v="C039"/>
    <x v="1"/>
    <x v="1"/>
    <s v="Water Bottle"/>
    <n v="9147"/>
    <n v="4"/>
    <n v="224"/>
    <n v="2"/>
    <x v="3"/>
    <s v="Returned"/>
    <s v="2025-02-02"/>
    <n v="36364"/>
  </r>
  <r>
    <n v="1081"/>
    <s v="C049"/>
    <x v="0"/>
    <x v="0"/>
    <s v="Wireless Headphones"/>
    <n v="4050"/>
    <n v="5"/>
    <n v="300"/>
    <n v="2"/>
    <x v="1"/>
    <s v="Cancelled"/>
    <s v="2025-03-08"/>
    <n v="19950"/>
  </r>
  <r>
    <n v="1082"/>
    <s v="C006"/>
    <x v="3"/>
    <x v="2"/>
    <s v="Hair Dryer"/>
    <n v="3273"/>
    <n v="5"/>
    <n v="223"/>
    <n v="5"/>
    <x v="0"/>
    <s v="Cancelled"/>
    <s v="2025-02-11"/>
    <n v="16142"/>
  </r>
  <r>
    <n v="1083"/>
    <s v="C019"/>
    <x v="0"/>
    <x v="0"/>
    <s v="Bluetooth Speaker"/>
    <n v="5703"/>
    <n v="4"/>
    <n v="355"/>
    <n v="5"/>
    <x v="0"/>
    <s v="Delivered"/>
    <s v="2025-02-10"/>
    <n v="22457"/>
  </r>
  <r>
    <n v="1084"/>
    <s v="C043"/>
    <x v="1"/>
    <x v="1"/>
    <s v="Gas Stove"/>
    <n v="2199"/>
    <n v="4"/>
    <n v="442"/>
    <n v="2"/>
    <x v="0"/>
    <s v="Delivered"/>
    <s v="2025-01-25"/>
    <n v="8354"/>
  </r>
  <r>
    <n v="1085"/>
    <s v="C049"/>
    <x v="2"/>
    <x v="1"/>
    <s v="Water Bottle"/>
    <n v="12693"/>
    <n v="4"/>
    <n v="320"/>
    <n v="5"/>
    <x v="3"/>
    <s v="Returned"/>
    <s v="2025-01-17"/>
    <n v="50452"/>
  </r>
  <r>
    <n v="1086"/>
    <s v="C041"/>
    <x v="2"/>
    <x v="1"/>
    <s v="LED Bulb Pack"/>
    <n v="14731"/>
    <n v="4"/>
    <n v="62"/>
    <n v="2"/>
    <x v="1"/>
    <s v="Cancelled"/>
    <s v="2025-03-12"/>
    <n v="58862"/>
  </r>
  <r>
    <n v="1087"/>
    <s v="C030"/>
    <x v="2"/>
    <x v="0"/>
    <s v="Power Bank"/>
    <n v="6984"/>
    <n v="1"/>
    <n v="115"/>
    <n v="2"/>
    <x v="0"/>
    <s v="Returned"/>
    <s v="2025-02-07"/>
    <n v="6869"/>
  </r>
  <r>
    <n v="1088"/>
    <s v="C030"/>
    <x v="2"/>
    <x v="1"/>
    <s v="LED Bulb Pack"/>
    <n v="13976"/>
    <n v="4"/>
    <n v="241"/>
    <n v="3"/>
    <x v="0"/>
    <s v="Delivered"/>
    <s v="2025-04-28"/>
    <n v="55663"/>
  </r>
  <r>
    <n v="1089"/>
    <s v="C001"/>
    <x v="3"/>
    <x v="3"/>
    <s v="Men T-Shirt"/>
    <n v="4826"/>
    <n v="4"/>
    <n v="174"/>
    <n v="4"/>
    <x v="0"/>
    <s v="Delivered"/>
    <s v="2025-02-27"/>
    <n v="19130"/>
  </r>
  <r>
    <n v="1090"/>
    <s v="C030"/>
    <x v="2"/>
    <x v="2"/>
    <s v="Hair Dryer"/>
    <n v="5746"/>
    <n v="5"/>
    <n v="390"/>
    <n v="5"/>
    <x v="1"/>
    <s v="Returned"/>
    <s v="2025-02-19"/>
    <n v="28340"/>
  </r>
  <r>
    <n v="1091"/>
    <s v="C046"/>
    <x v="1"/>
    <x v="3"/>
    <s v="Saree"/>
    <n v="1015"/>
    <n v="3"/>
    <n v="381"/>
    <n v="5"/>
    <x v="1"/>
    <s v="Cancelled"/>
    <s v="2025-01-05"/>
    <n v="2664"/>
  </r>
  <r>
    <n v="1092"/>
    <s v="C029"/>
    <x v="1"/>
    <x v="3"/>
    <s v="Jacket"/>
    <n v="9969"/>
    <n v="3"/>
    <n v="445"/>
    <n v="2"/>
    <x v="2"/>
    <s v="Returned"/>
    <s v="2025-01-19"/>
    <n v="29462"/>
  </r>
  <r>
    <n v="1093"/>
    <s v="C022"/>
    <x v="1"/>
    <x v="2"/>
    <s v="Perfume"/>
    <n v="1525"/>
    <n v="4"/>
    <n v="400"/>
    <n v="4"/>
    <x v="2"/>
    <s v="Cancelled"/>
    <s v="2025-04-20"/>
    <n v="5700"/>
  </r>
  <r>
    <n v="1094"/>
    <s v="C040"/>
    <x v="2"/>
    <x v="2"/>
    <s v="Hair Dryer"/>
    <n v="10569"/>
    <n v="4"/>
    <n v="446"/>
    <n v="2"/>
    <x v="3"/>
    <s v="Delivered"/>
    <s v="2025-04-06"/>
    <n v="41830"/>
  </r>
  <r>
    <n v="1095"/>
    <s v="C045"/>
    <x v="0"/>
    <x v="0"/>
    <s v="Smart Watch"/>
    <n v="1912"/>
    <n v="1"/>
    <n v="227"/>
    <n v="3"/>
    <x v="2"/>
    <s v="Cancelled"/>
    <s v="2025-04-12"/>
    <n v="1685"/>
  </r>
  <r>
    <n v="1096"/>
    <s v="C016"/>
    <x v="1"/>
    <x v="0"/>
    <s v="Laptop Mouse"/>
    <n v="6173"/>
    <n v="3"/>
    <n v="220"/>
    <n v="3"/>
    <x v="1"/>
    <s v="Delivered"/>
    <s v="2025-01-23"/>
    <n v="18299"/>
  </r>
  <r>
    <n v="1097"/>
    <s v="C032"/>
    <x v="2"/>
    <x v="0"/>
    <s v="Power Bank"/>
    <n v="14567"/>
    <n v="4"/>
    <n v="317"/>
    <n v="3"/>
    <x v="1"/>
    <s v="Cancelled"/>
    <s v="2025-03-23"/>
    <n v="57951"/>
  </r>
  <r>
    <n v="1098"/>
    <s v="C019"/>
    <x v="2"/>
    <x v="1"/>
    <s v="LED Bulb Pack"/>
    <n v="4483"/>
    <n v="1"/>
    <n v="460"/>
    <n v="5"/>
    <x v="2"/>
    <s v="Cancelled"/>
    <s v="2025-05-01"/>
    <n v="4023"/>
  </r>
  <r>
    <n v="1099"/>
    <s v="C030"/>
    <x v="2"/>
    <x v="1"/>
    <s v="Water Bottle"/>
    <n v="5201"/>
    <n v="4"/>
    <n v="353"/>
    <n v="4"/>
    <x v="0"/>
    <s v="Cancelled"/>
    <s v="2025-01-14"/>
    <n v="20451"/>
  </r>
  <r>
    <n v="1100"/>
    <s v="C045"/>
    <x v="0"/>
    <x v="3"/>
    <s v="Saree"/>
    <n v="9670"/>
    <n v="3"/>
    <n v="294"/>
    <n v="4"/>
    <x v="0"/>
    <s v="Cancelled"/>
    <s v="2025-01-02"/>
    <n v="28716"/>
  </r>
  <r>
    <n v="1101"/>
    <s v="C050"/>
    <x v="3"/>
    <x v="0"/>
    <s v="Power Bank"/>
    <n v="12508"/>
    <n v="4"/>
    <n v="426"/>
    <n v="4"/>
    <x v="1"/>
    <s v="Returned"/>
    <s v="2025-01-25"/>
    <n v="49606"/>
  </r>
  <r>
    <n v="1102"/>
    <s v="C020"/>
    <x v="0"/>
    <x v="1"/>
    <s v="Vacuum Cleaner"/>
    <n v="10593"/>
    <n v="1"/>
    <n v="462"/>
    <n v="2"/>
    <x v="3"/>
    <s v="Returned"/>
    <s v="2025-01-17"/>
    <n v="10131"/>
  </r>
  <r>
    <n v="1103"/>
    <s v="C009"/>
    <x v="3"/>
    <x v="0"/>
    <s v="Laptop Mouse"/>
    <n v="5652"/>
    <n v="4"/>
    <n v="89"/>
    <n v="3"/>
    <x v="3"/>
    <s v="Delivered"/>
    <s v="2025-02-02"/>
    <n v="22519"/>
  </r>
  <r>
    <n v="1104"/>
    <s v="C030"/>
    <x v="2"/>
    <x v="2"/>
    <s v="Hair Dryer"/>
    <n v="12531"/>
    <n v="3"/>
    <n v="411"/>
    <n v="2"/>
    <x v="1"/>
    <s v="Returned"/>
    <s v="2025-04-03"/>
    <n v="37182"/>
  </r>
  <r>
    <n v="1105"/>
    <s v="C001"/>
    <x v="0"/>
    <x v="2"/>
    <s v="Face Wash"/>
    <n v="6292"/>
    <n v="1"/>
    <n v="404"/>
    <n v="5"/>
    <x v="0"/>
    <s v="Cancelled"/>
    <s v="2025-03-28"/>
    <n v="5888"/>
  </r>
  <r>
    <n v="1106"/>
    <s v="C031"/>
    <x v="3"/>
    <x v="1"/>
    <s v="Water Bottle"/>
    <n v="6542"/>
    <n v="3"/>
    <n v="55"/>
    <n v="3"/>
    <x v="1"/>
    <s v="Returned"/>
    <s v="2025-01-09"/>
    <n v="19571"/>
  </r>
  <r>
    <n v="1107"/>
    <s v="C003"/>
    <x v="3"/>
    <x v="2"/>
    <s v="Hair Dryer"/>
    <n v="10937"/>
    <n v="4"/>
    <n v="59"/>
    <n v="3"/>
    <x v="0"/>
    <s v="Delivered"/>
    <s v="2025-01-13"/>
    <n v="43689"/>
  </r>
  <r>
    <n v="1108"/>
    <s v="C043"/>
    <x v="1"/>
    <x v="3"/>
    <s v="Jacket"/>
    <n v="2522"/>
    <n v="4"/>
    <n v="232"/>
    <n v="4"/>
    <x v="1"/>
    <s v="Cancelled"/>
    <s v="2025-03-25"/>
    <n v="9856"/>
  </r>
  <r>
    <n v="1109"/>
    <s v="C003"/>
    <x v="2"/>
    <x v="0"/>
    <s v="Smart Watch"/>
    <n v="10386"/>
    <n v="4"/>
    <n v="480"/>
    <n v="4"/>
    <x v="0"/>
    <s v="Cancelled"/>
    <s v="2025-01-31"/>
    <n v="41064"/>
  </r>
  <r>
    <n v="1110"/>
    <s v="C004"/>
    <x v="3"/>
    <x v="1"/>
    <s v="Mixer Grinder"/>
    <n v="11534"/>
    <n v="3"/>
    <n v="278"/>
    <n v="4"/>
    <x v="1"/>
    <s v="Delivered"/>
    <s v="2025-04-19"/>
    <n v="34324"/>
  </r>
  <r>
    <n v="1111"/>
    <s v="C004"/>
    <x v="2"/>
    <x v="2"/>
    <s v="Face Cream"/>
    <n v="11158"/>
    <n v="2"/>
    <n v="328"/>
    <n v="2"/>
    <x v="1"/>
    <s v="Returned"/>
    <s v="2025-01-27"/>
    <n v="21988"/>
  </r>
  <r>
    <n v="1112"/>
    <s v="C022"/>
    <x v="0"/>
    <x v="0"/>
    <s v="Power Bank"/>
    <n v="3694"/>
    <n v="5"/>
    <n v="110"/>
    <n v="3"/>
    <x v="3"/>
    <s v="Delivered"/>
    <s v="2025-01-17"/>
    <n v="18360"/>
  </r>
  <r>
    <n v="1113"/>
    <s v="C023"/>
    <x v="3"/>
    <x v="1"/>
    <s v="Vacuum Cleaner"/>
    <n v="2101"/>
    <n v="1"/>
    <n v="67"/>
    <n v="2"/>
    <x v="2"/>
    <s v="Delivered"/>
    <s v="2025-02-03"/>
    <n v="2034"/>
  </r>
  <r>
    <n v="1114"/>
    <s v="C048"/>
    <x v="1"/>
    <x v="0"/>
    <s v="Bluetooth Speaker"/>
    <n v="12452"/>
    <n v="4"/>
    <n v="269"/>
    <n v="2"/>
    <x v="0"/>
    <s v="Cancelled"/>
    <s v="2025-03-07"/>
    <n v="49539"/>
  </r>
  <r>
    <n v="1115"/>
    <s v="C047"/>
    <x v="3"/>
    <x v="0"/>
    <s v="Smart Watch"/>
    <n v="8554"/>
    <n v="2"/>
    <n v="484"/>
    <n v="2"/>
    <x v="0"/>
    <s v="Returned"/>
    <s v="2025-01-04"/>
    <n v="16624"/>
  </r>
  <r>
    <n v="1116"/>
    <s v="C032"/>
    <x v="0"/>
    <x v="0"/>
    <s v="Smart Watch"/>
    <n v="14182"/>
    <n v="4"/>
    <n v="218"/>
    <n v="2"/>
    <x v="2"/>
    <s v="Cancelled"/>
    <s v="2025-03-19"/>
    <n v="56510"/>
  </r>
  <r>
    <n v="1117"/>
    <s v="C025"/>
    <x v="3"/>
    <x v="3"/>
    <s v="Men T-Shirt"/>
    <n v="2367"/>
    <n v="3"/>
    <n v="319"/>
    <n v="4"/>
    <x v="0"/>
    <s v="Returned"/>
    <s v="2025-03-19"/>
    <n v="6782"/>
  </r>
  <r>
    <n v="1118"/>
    <s v="C028"/>
    <x v="2"/>
    <x v="2"/>
    <s v="Face Cream"/>
    <n v="13294"/>
    <n v="1"/>
    <n v="436"/>
    <n v="3"/>
    <x v="0"/>
    <s v="Cancelled"/>
    <s v="2025-04-16"/>
    <n v="12858"/>
  </r>
  <r>
    <n v="1119"/>
    <s v="C021"/>
    <x v="3"/>
    <x v="2"/>
    <s v="Lipstick"/>
    <n v="7115"/>
    <n v="1"/>
    <n v="160"/>
    <n v="5"/>
    <x v="1"/>
    <s v="Returned"/>
    <s v="2025-04-29"/>
    <n v="6955"/>
  </r>
  <r>
    <n v="1120"/>
    <s v="C007"/>
    <x v="2"/>
    <x v="2"/>
    <s v="Face Cream"/>
    <n v="1794"/>
    <n v="1"/>
    <n v="47"/>
    <n v="5"/>
    <x v="2"/>
    <s v="Returned"/>
    <s v="2025-03-13"/>
    <n v="1747"/>
  </r>
  <r>
    <n v="1121"/>
    <s v="C047"/>
    <x v="3"/>
    <x v="1"/>
    <s v="Mixer Grinder"/>
    <n v="7030"/>
    <n v="3"/>
    <n v="447"/>
    <n v="5"/>
    <x v="3"/>
    <s v="Cancelled"/>
    <s v="2025-01-14"/>
    <n v="20643"/>
  </r>
  <r>
    <n v="1122"/>
    <s v="C023"/>
    <x v="3"/>
    <x v="3"/>
    <s v="Women Jeans"/>
    <n v="11059"/>
    <n v="4"/>
    <n v="114"/>
    <n v="2"/>
    <x v="2"/>
    <s v="Cancelled"/>
    <s v="2025-03-15"/>
    <n v="44122"/>
  </r>
  <r>
    <n v="1123"/>
    <s v="C039"/>
    <x v="0"/>
    <x v="3"/>
    <s v="Saree"/>
    <n v="14147"/>
    <n v="5"/>
    <n v="498"/>
    <n v="2"/>
    <x v="1"/>
    <s v="Cancelled"/>
    <s v="2025-03-31"/>
    <n v="70237"/>
  </r>
  <r>
    <n v="1124"/>
    <s v="C037"/>
    <x v="0"/>
    <x v="1"/>
    <s v="Gas Stove"/>
    <n v="6051"/>
    <n v="1"/>
    <n v="92"/>
    <n v="3"/>
    <x v="1"/>
    <s v="Returned"/>
    <s v="2025-03-23"/>
    <n v="5959"/>
  </r>
  <r>
    <n v="1125"/>
    <s v="C027"/>
    <x v="3"/>
    <x v="0"/>
    <s v="Wireless Headphones"/>
    <n v="12524"/>
    <n v="5"/>
    <n v="110"/>
    <n v="5"/>
    <x v="1"/>
    <s v="Cancelled"/>
    <s v="2025-02-09"/>
    <n v="62510"/>
  </r>
  <r>
    <n v="1126"/>
    <s v="C010"/>
    <x v="0"/>
    <x v="1"/>
    <s v="Water Bottle"/>
    <n v="10068"/>
    <n v="1"/>
    <n v="452"/>
    <n v="2"/>
    <x v="2"/>
    <s v="Cancelled"/>
    <s v="2025-02-26"/>
    <n v="9616"/>
  </r>
  <r>
    <n v="1127"/>
    <s v="C014"/>
    <x v="0"/>
    <x v="2"/>
    <s v="Lipstick"/>
    <n v="10246"/>
    <n v="4"/>
    <n v="212"/>
    <n v="4"/>
    <x v="3"/>
    <s v="Cancelled"/>
    <s v="2025-01-15"/>
    <n v="40772"/>
  </r>
  <r>
    <n v="1128"/>
    <s v="C003"/>
    <x v="1"/>
    <x v="1"/>
    <s v="Water Bottle"/>
    <n v="8272"/>
    <n v="5"/>
    <n v="341"/>
    <n v="4"/>
    <x v="2"/>
    <s v="Delivered"/>
    <s v="2025-01-27"/>
    <n v="41019"/>
  </r>
  <r>
    <n v="1129"/>
    <s v="C019"/>
    <x v="0"/>
    <x v="1"/>
    <s v="Vacuum Cleaner"/>
    <n v="12872"/>
    <n v="2"/>
    <n v="391"/>
    <n v="4"/>
    <x v="2"/>
    <s v="Cancelled"/>
    <s v="2025-04-06"/>
    <n v="25353"/>
  </r>
  <r>
    <n v="1130"/>
    <s v="C033"/>
    <x v="3"/>
    <x v="2"/>
    <s v="Perfume"/>
    <n v="2416"/>
    <n v="4"/>
    <n v="272"/>
    <n v="3"/>
    <x v="2"/>
    <s v="Cancelled"/>
    <s v="2025-04-21"/>
    <n v="9392"/>
  </r>
  <r>
    <n v="1131"/>
    <s v="C021"/>
    <x v="1"/>
    <x v="0"/>
    <s v="Smart Watch"/>
    <n v="607"/>
    <n v="4"/>
    <n v="471"/>
    <n v="2"/>
    <x v="0"/>
    <s v="Returned"/>
    <s v="2025-03-23"/>
    <n v="1957"/>
  </r>
  <r>
    <n v="1132"/>
    <s v="C011"/>
    <x v="1"/>
    <x v="2"/>
    <s v="Hair Dryer"/>
    <n v="2187"/>
    <n v="4"/>
    <n v="10"/>
    <n v="4"/>
    <x v="3"/>
    <s v="Delivered"/>
    <s v="2025-02-25"/>
    <n v="8738"/>
  </r>
  <r>
    <n v="1133"/>
    <s v="C026"/>
    <x v="3"/>
    <x v="0"/>
    <s v="Bluetooth Speaker"/>
    <n v="7438"/>
    <n v="5"/>
    <n v="205"/>
    <n v="2"/>
    <x v="1"/>
    <s v="Cancelled"/>
    <s v="2025-04-10"/>
    <n v="36985"/>
  </r>
  <r>
    <n v="1134"/>
    <s v="C050"/>
    <x v="3"/>
    <x v="3"/>
    <s v="Men T-Shirt"/>
    <n v="8663"/>
    <n v="1"/>
    <n v="271"/>
    <n v="3"/>
    <x v="1"/>
    <s v="Delivered"/>
    <s v="2025-01-14"/>
    <n v="8392"/>
  </r>
  <r>
    <n v="1135"/>
    <s v="C049"/>
    <x v="2"/>
    <x v="3"/>
    <s v="Kurti"/>
    <n v="3532"/>
    <n v="2"/>
    <n v="308"/>
    <n v="3"/>
    <x v="0"/>
    <s v="Cancelled"/>
    <s v="2025-04-07"/>
    <n v="6756"/>
  </r>
  <r>
    <n v="1136"/>
    <s v="C010"/>
    <x v="0"/>
    <x v="2"/>
    <s v="Face Wash"/>
    <n v="10834"/>
    <n v="5"/>
    <n v="165"/>
    <n v="4"/>
    <x v="0"/>
    <s v="Cancelled"/>
    <s v="2025-03-22"/>
    <n v="54005"/>
  </r>
  <r>
    <n v="1137"/>
    <s v="C020"/>
    <x v="1"/>
    <x v="1"/>
    <s v="Gas Stove"/>
    <n v="9989"/>
    <n v="1"/>
    <n v="180"/>
    <n v="2"/>
    <x v="2"/>
    <s v="Delivered"/>
    <s v="2025-02-17"/>
    <n v="9809"/>
  </r>
  <r>
    <n v="1138"/>
    <s v="C030"/>
    <x v="0"/>
    <x v="1"/>
    <s v="Mixer Grinder"/>
    <n v="10862"/>
    <n v="1"/>
    <n v="314"/>
    <n v="5"/>
    <x v="0"/>
    <s v="Returned"/>
    <s v="2025-03-25"/>
    <n v="10548"/>
  </r>
  <r>
    <n v="1139"/>
    <s v="C004"/>
    <x v="0"/>
    <x v="3"/>
    <s v="Kurti"/>
    <n v="10212"/>
    <n v="4"/>
    <n v="256"/>
    <n v="3"/>
    <x v="3"/>
    <s v="Returned"/>
    <s v="2025-01-11"/>
    <n v="40592"/>
  </r>
  <r>
    <n v="1140"/>
    <s v="C024"/>
    <x v="3"/>
    <x v="3"/>
    <s v="Men T-Shirt"/>
    <n v="4359"/>
    <n v="4"/>
    <n v="224"/>
    <n v="3"/>
    <x v="0"/>
    <s v="Cancelled"/>
    <s v="2025-04-10"/>
    <n v="17212"/>
  </r>
  <r>
    <n v="1141"/>
    <s v="C007"/>
    <x v="1"/>
    <x v="1"/>
    <s v="Water Bottle"/>
    <n v="1157"/>
    <n v="3"/>
    <n v="33"/>
    <n v="4"/>
    <x v="3"/>
    <s v="Cancelled"/>
    <s v="2025-04-03"/>
    <n v="3438"/>
  </r>
  <r>
    <n v="1142"/>
    <s v="C023"/>
    <x v="1"/>
    <x v="3"/>
    <s v="Kurti"/>
    <n v="1635"/>
    <n v="5"/>
    <n v="339"/>
    <n v="3"/>
    <x v="1"/>
    <s v="Returned"/>
    <s v="2025-04-01"/>
    <n v="7836"/>
  </r>
  <r>
    <n v="1143"/>
    <s v="C009"/>
    <x v="0"/>
    <x v="0"/>
    <s v="Laptop Mouse"/>
    <n v="9457"/>
    <n v="4"/>
    <n v="329"/>
    <n v="4"/>
    <x v="0"/>
    <s v="Returned"/>
    <s v="2025-02-16"/>
    <n v="37499"/>
  </r>
  <r>
    <n v="1144"/>
    <s v="C022"/>
    <x v="2"/>
    <x v="0"/>
    <s v="Laptop Mouse"/>
    <n v="5360"/>
    <n v="2"/>
    <n v="486"/>
    <n v="3"/>
    <x v="1"/>
    <s v="Delivered"/>
    <s v="2025-01-20"/>
    <n v="10234"/>
  </r>
  <r>
    <n v="1145"/>
    <s v="C043"/>
    <x v="2"/>
    <x v="0"/>
    <s v="Laptop Mouse"/>
    <n v="14135"/>
    <n v="1"/>
    <n v="259"/>
    <n v="2"/>
    <x v="0"/>
    <s v="Delivered"/>
    <s v="2025-01-21"/>
    <n v="13876"/>
  </r>
  <r>
    <n v="1146"/>
    <s v="C047"/>
    <x v="0"/>
    <x v="3"/>
    <s v="Leggings"/>
    <n v="12933"/>
    <n v="5"/>
    <n v="414"/>
    <n v="3"/>
    <x v="0"/>
    <s v="Cancelled"/>
    <s v="2025-03-28"/>
    <n v="64251"/>
  </r>
  <r>
    <n v="1147"/>
    <s v="C015"/>
    <x v="2"/>
    <x v="3"/>
    <s v="Saree"/>
    <n v="10303"/>
    <n v="3"/>
    <n v="385"/>
    <n v="5"/>
    <x v="3"/>
    <s v="Cancelled"/>
    <s v="2025-04-26"/>
    <n v="30524"/>
  </r>
  <r>
    <n v="1148"/>
    <s v="C050"/>
    <x v="1"/>
    <x v="3"/>
    <s v="Kurti"/>
    <n v="11413"/>
    <n v="5"/>
    <n v="225"/>
    <n v="5"/>
    <x v="0"/>
    <s v="Delivered"/>
    <s v="2025-04-15"/>
    <n v="56840"/>
  </r>
  <r>
    <n v="1149"/>
    <s v="C024"/>
    <x v="0"/>
    <x v="3"/>
    <s v="Jacket"/>
    <n v="2567"/>
    <n v="3"/>
    <n v="26"/>
    <n v="5"/>
    <x v="2"/>
    <s v="Cancelled"/>
    <s v="2025-01-11"/>
    <n v="7675"/>
  </r>
  <r>
    <n v="1150"/>
    <s v="C006"/>
    <x v="1"/>
    <x v="3"/>
    <s v="Kurti"/>
    <n v="7661"/>
    <n v="5"/>
    <n v="75"/>
    <n v="5"/>
    <x v="3"/>
    <s v="Delivered"/>
    <s v="2025-02-23"/>
    <n v="38230"/>
  </r>
  <r>
    <n v="1151"/>
    <s v="C006"/>
    <x v="2"/>
    <x v="0"/>
    <s v="Smart Watch"/>
    <n v="8524"/>
    <n v="3"/>
    <n v="120"/>
    <n v="5"/>
    <x v="2"/>
    <s v="Cancelled"/>
    <s v="2025-04-30"/>
    <n v="25452"/>
  </r>
  <r>
    <n v="1152"/>
    <s v="C009"/>
    <x v="3"/>
    <x v="0"/>
    <s v="Keyboard"/>
    <n v="10948"/>
    <n v="3"/>
    <n v="405"/>
    <n v="3"/>
    <x v="0"/>
    <s v="Returned"/>
    <s v="2025-04-17"/>
    <n v="32439"/>
  </r>
  <r>
    <n v="1153"/>
    <s v="C006"/>
    <x v="3"/>
    <x v="3"/>
    <s v="Leggings"/>
    <n v="7985"/>
    <n v="4"/>
    <n v="315"/>
    <n v="2"/>
    <x v="1"/>
    <s v="Delivered"/>
    <s v="2025-03-12"/>
    <n v="31625"/>
  </r>
  <r>
    <n v="1154"/>
    <s v="C008"/>
    <x v="2"/>
    <x v="2"/>
    <s v="Face Cream"/>
    <n v="13016"/>
    <n v="3"/>
    <n v="121"/>
    <n v="4"/>
    <x v="0"/>
    <s v="Returned"/>
    <s v="2025-04-12"/>
    <n v="38927"/>
  </r>
  <r>
    <n v="1155"/>
    <s v="C041"/>
    <x v="2"/>
    <x v="2"/>
    <s v="Face Cream"/>
    <n v="2116"/>
    <n v="4"/>
    <n v="305"/>
    <n v="2"/>
    <x v="1"/>
    <s v="Cancelled"/>
    <s v="2025-02-24"/>
    <n v="8159"/>
  </r>
  <r>
    <n v="1156"/>
    <s v="C012"/>
    <x v="3"/>
    <x v="0"/>
    <s v="Power Bank"/>
    <n v="6080"/>
    <n v="2"/>
    <n v="292"/>
    <n v="5"/>
    <x v="2"/>
    <s v="Returned"/>
    <s v="2025-03-11"/>
    <n v="11868"/>
  </r>
  <r>
    <n v="1157"/>
    <s v="C024"/>
    <x v="0"/>
    <x v="0"/>
    <s v="Smart Watch"/>
    <n v="14608"/>
    <n v="4"/>
    <n v="22"/>
    <n v="5"/>
    <x v="3"/>
    <s v="Delivered"/>
    <s v="2025-02-14"/>
    <n v="58410"/>
  </r>
  <r>
    <n v="1158"/>
    <s v="C009"/>
    <x v="3"/>
    <x v="3"/>
    <s v="Leggings"/>
    <n v="11065"/>
    <n v="1"/>
    <n v="395"/>
    <n v="4"/>
    <x v="3"/>
    <s v="Returned"/>
    <s v="2025-01-23"/>
    <n v="10670"/>
  </r>
  <r>
    <n v="1159"/>
    <s v="C005"/>
    <x v="0"/>
    <x v="2"/>
    <s v="Lipstick"/>
    <n v="10650"/>
    <n v="2"/>
    <n v="415"/>
    <n v="3"/>
    <x v="3"/>
    <s v="Delivered"/>
    <s v="2025-01-06"/>
    <n v="20885"/>
  </r>
  <r>
    <n v="1160"/>
    <s v="C035"/>
    <x v="3"/>
    <x v="3"/>
    <s v="Men T-Shirt"/>
    <n v="5470"/>
    <n v="3"/>
    <n v="263"/>
    <n v="5"/>
    <x v="2"/>
    <s v="Returned"/>
    <s v="2025-01-25"/>
    <n v="16147"/>
  </r>
  <r>
    <n v="1161"/>
    <s v="C018"/>
    <x v="3"/>
    <x v="1"/>
    <s v="Gas Stove"/>
    <n v="14425"/>
    <n v="1"/>
    <n v="443"/>
    <n v="4"/>
    <x v="0"/>
    <s v="Cancelled"/>
    <s v="2025-04-06"/>
    <n v="13982"/>
  </r>
  <r>
    <n v="1162"/>
    <s v="C024"/>
    <x v="3"/>
    <x v="2"/>
    <s v="Lipstick"/>
    <n v="5854"/>
    <n v="2"/>
    <n v="254"/>
    <n v="5"/>
    <x v="2"/>
    <s v="Returned"/>
    <s v="2025-02-24"/>
    <n v="11454"/>
  </r>
  <r>
    <n v="1163"/>
    <s v="C021"/>
    <x v="0"/>
    <x v="0"/>
    <s v="Smart Watch"/>
    <n v="10170"/>
    <n v="2"/>
    <n v="279"/>
    <n v="4"/>
    <x v="3"/>
    <s v="Returned"/>
    <s v="2025-02-07"/>
    <n v="20061"/>
  </r>
  <r>
    <n v="1164"/>
    <s v="C023"/>
    <x v="0"/>
    <x v="1"/>
    <s v="LED Bulb Pack"/>
    <n v="10173"/>
    <n v="4"/>
    <n v="85"/>
    <n v="5"/>
    <x v="3"/>
    <s v="Returned"/>
    <s v="2025-02-25"/>
    <n v="40607"/>
  </r>
  <r>
    <n v="1165"/>
    <s v="C002"/>
    <x v="1"/>
    <x v="1"/>
    <s v="Mixer Grinder"/>
    <n v="1529"/>
    <n v="4"/>
    <n v="186"/>
    <n v="3"/>
    <x v="2"/>
    <s v="Delivered"/>
    <s v="2025-01-09"/>
    <n v="5930"/>
  </r>
  <r>
    <n v="1166"/>
    <s v="C039"/>
    <x v="1"/>
    <x v="3"/>
    <s v="Leggings"/>
    <n v="6301"/>
    <n v="3"/>
    <n v="196"/>
    <n v="2"/>
    <x v="3"/>
    <s v="Cancelled"/>
    <s v="2025-02-26"/>
    <n v="18707"/>
  </r>
  <r>
    <n v="1167"/>
    <s v="C021"/>
    <x v="2"/>
    <x v="0"/>
    <s v="Power Bank"/>
    <n v="2555"/>
    <n v="5"/>
    <n v="187"/>
    <n v="5"/>
    <x v="2"/>
    <s v="Delivered"/>
    <s v="2025-04-05"/>
    <n v="12588"/>
  </r>
  <r>
    <n v="1168"/>
    <s v="C017"/>
    <x v="1"/>
    <x v="3"/>
    <s v="Saree"/>
    <n v="8782"/>
    <n v="4"/>
    <n v="467"/>
    <n v="2"/>
    <x v="1"/>
    <s v="Returned"/>
    <s v="2025-02-06"/>
    <n v="34661"/>
  </r>
  <r>
    <n v="1169"/>
    <s v="C029"/>
    <x v="1"/>
    <x v="2"/>
    <s v="Perfume"/>
    <n v="2309"/>
    <n v="2"/>
    <n v="436"/>
    <n v="2"/>
    <x v="2"/>
    <s v="Returned"/>
    <s v="2025-04-19"/>
    <n v="4182"/>
  </r>
  <r>
    <n v="1170"/>
    <s v="C020"/>
    <x v="2"/>
    <x v="1"/>
    <s v="Gas Stove"/>
    <n v="11925"/>
    <n v="1"/>
    <n v="281"/>
    <n v="4"/>
    <x v="3"/>
    <s v="Returned"/>
    <s v="2025-01-29"/>
    <n v="11644"/>
  </r>
  <r>
    <n v="1171"/>
    <s v="C002"/>
    <x v="3"/>
    <x v="0"/>
    <s v="Bluetooth Speaker"/>
    <n v="13277"/>
    <n v="2"/>
    <n v="121"/>
    <n v="5"/>
    <x v="0"/>
    <s v="Returned"/>
    <s v="2025-01-17"/>
    <n v="26433"/>
  </r>
  <r>
    <n v="1172"/>
    <s v="C034"/>
    <x v="1"/>
    <x v="0"/>
    <s v="Wireless Headphones"/>
    <n v="5367"/>
    <n v="4"/>
    <n v="367"/>
    <n v="5"/>
    <x v="2"/>
    <s v="Delivered"/>
    <s v="2025-02-10"/>
    <n v="21101"/>
  </r>
  <r>
    <n v="1173"/>
    <s v="C050"/>
    <x v="2"/>
    <x v="0"/>
    <s v="Smart Watch"/>
    <n v="7932"/>
    <n v="5"/>
    <n v="176"/>
    <n v="3"/>
    <x v="1"/>
    <s v="Cancelled"/>
    <s v="2025-03-06"/>
    <n v="39484"/>
  </r>
  <r>
    <n v="1174"/>
    <s v="C011"/>
    <x v="2"/>
    <x v="0"/>
    <s v="Wireless Headphones"/>
    <n v="8788"/>
    <n v="2"/>
    <n v="155"/>
    <n v="3"/>
    <x v="3"/>
    <s v="Returned"/>
    <s v="2025-04-25"/>
    <n v="17421"/>
  </r>
  <r>
    <n v="1175"/>
    <s v="C009"/>
    <x v="0"/>
    <x v="1"/>
    <s v="Mixer Grinder"/>
    <n v="4405"/>
    <n v="2"/>
    <n v="325"/>
    <n v="4"/>
    <x v="1"/>
    <s v="Returned"/>
    <s v="2025-05-01"/>
    <n v="8485"/>
  </r>
  <r>
    <n v="1176"/>
    <s v="C037"/>
    <x v="0"/>
    <x v="3"/>
    <s v="Women Jeans"/>
    <n v="11092"/>
    <n v="5"/>
    <n v="368"/>
    <n v="4"/>
    <x v="2"/>
    <s v="Delivered"/>
    <s v="2025-03-24"/>
    <n v="55092"/>
  </r>
  <r>
    <n v="1177"/>
    <s v="C032"/>
    <x v="3"/>
    <x v="1"/>
    <s v="Vacuum Cleaner"/>
    <n v="12865"/>
    <n v="5"/>
    <n v="213"/>
    <n v="2"/>
    <x v="3"/>
    <s v="Cancelled"/>
    <s v="2025-02-01"/>
    <n v="64112"/>
  </r>
  <r>
    <n v="1178"/>
    <s v="C011"/>
    <x v="1"/>
    <x v="2"/>
    <s v="Hair Dryer"/>
    <n v="7730"/>
    <n v="1"/>
    <n v="352"/>
    <n v="2"/>
    <x v="0"/>
    <s v="Cancelled"/>
    <s v="2025-01-27"/>
    <n v="7378"/>
  </r>
  <r>
    <n v="1179"/>
    <s v="C047"/>
    <x v="1"/>
    <x v="1"/>
    <s v="Water Bottle"/>
    <n v="2653"/>
    <n v="3"/>
    <n v="441"/>
    <n v="4"/>
    <x v="1"/>
    <s v="Cancelled"/>
    <s v="2025-03-07"/>
    <n v="7518"/>
  </r>
  <r>
    <n v="1180"/>
    <s v="C029"/>
    <x v="2"/>
    <x v="0"/>
    <s v="Laptop Mouse"/>
    <n v="4260"/>
    <n v="4"/>
    <n v="62"/>
    <n v="4"/>
    <x v="2"/>
    <s v="Delivered"/>
    <s v="2025-02-07"/>
    <n v="16978"/>
  </r>
  <r>
    <n v="1181"/>
    <s v="C021"/>
    <x v="3"/>
    <x v="2"/>
    <s v="Face Wash"/>
    <n v="7150"/>
    <n v="2"/>
    <n v="492"/>
    <n v="3"/>
    <x v="1"/>
    <s v="Delivered"/>
    <s v="2025-03-05"/>
    <n v="13808"/>
  </r>
  <r>
    <n v="1182"/>
    <s v="C006"/>
    <x v="1"/>
    <x v="2"/>
    <s v="Lipstick"/>
    <n v="14702"/>
    <n v="3"/>
    <n v="254"/>
    <n v="2"/>
    <x v="1"/>
    <s v="Delivered"/>
    <s v="2025-03-16"/>
    <n v="43852"/>
  </r>
  <r>
    <n v="1183"/>
    <s v="C019"/>
    <x v="0"/>
    <x v="1"/>
    <s v="Mixer Grinder"/>
    <n v="1128"/>
    <n v="3"/>
    <n v="253"/>
    <n v="5"/>
    <x v="2"/>
    <s v="Cancelled"/>
    <s v="2025-01-18"/>
    <n v="3131"/>
  </r>
  <r>
    <n v="1184"/>
    <s v="C026"/>
    <x v="2"/>
    <x v="1"/>
    <s v="Gas Stove"/>
    <n v="12815"/>
    <n v="4"/>
    <n v="187"/>
    <n v="2"/>
    <x v="3"/>
    <s v="Returned"/>
    <s v="2025-02-06"/>
    <n v="51073"/>
  </r>
  <r>
    <n v="1185"/>
    <s v="C040"/>
    <x v="0"/>
    <x v="0"/>
    <s v="Smart Watch"/>
    <n v="8561"/>
    <n v="4"/>
    <n v="391"/>
    <n v="4"/>
    <x v="1"/>
    <s v="Delivered"/>
    <s v="2025-02-20"/>
    <n v="33853"/>
  </r>
  <r>
    <n v="1186"/>
    <s v="C013"/>
    <x v="1"/>
    <x v="1"/>
    <s v="Gas Stove"/>
    <n v="9439"/>
    <n v="3"/>
    <n v="386"/>
    <n v="3"/>
    <x v="2"/>
    <s v="Delivered"/>
    <s v="2025-01-05"/>
    <n v="27931"/>
  </r>
  <r>
    <n v="1187"/>
    <s v="C010"/>
    <x v="2"/>
    <x v="3"/>
    <s v="Leggings"/>
    <n v="5756"/>
    <n v="4"/>
    <n v="265"/>
    <n v="5"/>
    <x v="3"/>
    <s v="Returned"/>
    <s v="2025-02-10"/>
    <n v="22759"/>
  </r>
  <r>
    <n v="1188"/>
    <s v="C033"/>
    <x v="1"/>
    <x v="3"/>
    <s v="Saree"/>
    <n v="10400"/>
    <n v="3"/>
    <n v="303"/>
    <n v="4"/>
    <x v="3"/>
    <s v="Cancelled"/>
    <s v="2025-04-15"/>
    <n v="30897"/>
  </r>
  <r>
    <n v="1189"/>
    <s v="C047"/>
    <x v="1"/>
    <x v="0"/>
    <s v="Laptop Mouse"/>
    <n v="5727"/>
    <n v="1"/>
    <n v="213"/>
    <n v="4"/>
    <x v="3"/>
    <s v="Returned"/>
    <s v="2025-04-11"/>
    <n v="5514"/>
  </r>
  <r>
    <n v="1190"/>
    <s v="C034"/>
    <x v="1"/>
    <x v="3"/>
    <s v="Leggings"/>
    <n v="1141"/>
    <n v="5"/>
    <n v="245"/>
    <n v="3"/>
    <x v="1"/>
    <s v="Returned"/>
    <s v="2025-02-01"/>
    <n v="5460"/>
  </r>
  <r>
    <n v="1191"/>
    <s v="C029"/>
    <x v="1"/>
    <x v="0"/>
    <s v="Power Bank"/>
    <n v="11777"/>
    <n v="1"/>
    <n v="97"/>
    <n v="2"/>
    <x v="1"/>
    <s v="Cancelled"/>
    <s v="2025-03-30"/>
    <n v="11680"/>
  </r>
  <r>
    <n v="1192"/>
    <s v="C048"/>
    <x v="2"/>
    <x v="3"/>
    <s v="Saree"/>
    <n v="8521"/>
    <n v="5"/>
    <n v="471"/>
    <n v="5"/>
    <x v="1"/>
    <s v="Returned"/>
    <s v="2025-02-11"/>
    <n v="42134"/>
  </r>
  <r>
    <n v="1193"/>
    <s v="C030"/>
    <x v="3"/>
    <x v="2"/>
    <s v="Face Wash"/>
    <n v="6473"/>
    <n v="3"/>
    <n v="489"/>
    <n v="3"/>
    <x v="3"/>
    <s v="Returned"/>
    <s v="2025-04-09"/>
    <n v="18930"/>
  </r>
  <r>
    <n v="1194"/>
    <s v="C018"/>
    <x v="3"/>
    <x v="1"/>
    <s v="Water Bottle"/>
    <n v="8232"/>
    <n v="2"/>
    <n v="490"/>
    <n v="3"/>
    <x v="1"/>
    <s v="Cancelled"/>
    <s v="2025-04-09"/>
    <n v="15974"/>
  </r>
  <r>
    <n v="1195"/>
    <s v="C023"/>
    <x v="3"/>
    <x v="1"/>
    <s v="Vacuum Cleaner"/>
    <n v="11608"/>
    <n v="4"/>
    <n v="162"/>
    <n v="5"/>
    <x v="3"/>
    <s v="Delivered"/>
    <s v="2025-03-15"/>
    <n v="46270"/>
  </r>
  <r>
    <n v="1196"/>
    <s v="C019"/>
    <x v="3"/>
    <x v="2"/>
    <s v="Lipstick"/>
    <n v="13708"/>
    <n v="3"/>
    <n v="488"/>
    <n v="3"/>
    <x v="2"/>
    <s v="Cancelled"/>
    <s v="2025-04-29"/>
    <n v="40636"/>
  </r>
  <r>
    <n v="1197"/>
    <s v="C035"/>
    <x v="3"/>
    <x v="2"/>
    <s v="Hair Dryer"/>
    <n v="12544"/>
    <n v="4"/>
    <n v="109"/>
    <n v="3"/>
    <x v="1"/>
    <s v="Delivered"/>
    <s v="2025-03-20"/>
    <n v="50067"/>
  </r>
  <r>
    <n v="1198"/>
    <s v="C004"/>
    <x v="1"/>
    <x v="3"/>
    <s v="Women Jeans"/>
    <n v="1131"/>
    <n v="5"/>
    <n v="115"/>
    <n v="3"/>
    <x v="3"/>
    <s v="Returned"/>
    <s v="2025-03-02"/>
    <n v="5540"/>
  </r>
  <r>
    <n v="1199"/>
    <s v="C027"/>
    <x v="1"/>
    <x v="0"/>
    <s v="Keyboard"/>
    <n v="12928"/>
    <n v="2"/>
    <n v="2"/>
    <n v="3"/>
    <x v="1"/>
    <s v="Cancelled"/>
    <s v="2025-02-11"/>
    <n v="25854"/>
  </r>
  <r>
    <n v="1200"/>
    <s v="C035"/>
    <x v="2"/>
    <x v="1"/>
    <s v="Mixer Grinder"/>
    <n v="12894"/>
    <n v="1"/>
    <n v="333"/>
    <n v="3"/>
    <x v="0"/>
    <s v="Delivered"/>
    <s v="2025-04-30"/>
    <n v="125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35819-798F-4115-B596-AB3F7DA2AD9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13"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ice" fld="5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F206E-4622-47AD-BBE5-CCBE59CE7A1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8134-3621-4EDF-BBDB-DF0AAEDAE8D4}">
  <dimension ref="A3:E8"/>
  <sheetViews>
    <sheetView topLeftCell="D1" workbookViewId="0">
      <selection activeCell="E3" sqref="E3"/>
    </sheetView>
  </sheetViews>
  <sheetFormatPr defaultRowHeight="14.4" x14ac:dyDescent="0.3"/>
  <cols>
    <col min="1" max="1" width="12.5546875" bestFit="1" customWidth="1"/>
    <col min="2" max="2" width="11.5546875" bestFit="1" customWidth="1"/>
    <col min="4" max="4" width="14.5546875" bestFit="1" customWidth="1"/>
    <col min="5" max="5" width="14.77734375" bestFit="1" customWidth="1"/>
  </cols>
  <sheetData>
    <row r="3" spans="1:5" x14ac:dyDescent="0.3">
      <c r="A3" s="2" t="s">
        <v>201</v>
      </c>
      <c r="B3" t="s">
        <v>203</v>
      </c>
      <c r="D3" s="2" t="s">
        <v>201</v>
      </c>
      <c r="E3" t="s">
        <v>204</v>
      </c>
    </row>
    <row r="4" spans="1:5" x14ac:dyDescent="0.3">
      <c r="A4" s="3" t="s">
        <v>35</v>
      </c>
      <c r="B4" s="4">
        <v>377671</v>
      </c>
      <c r="D4" s="3" t="s">
        <v>16</v>
      </c>
      <c r="E4" s="4">
        <v>8605.5400000000009</v>
      </c>
    </row>
    <row r="5" spans="1:5" x14ac:dyDescent="0.3">
      <c r="A5" s="3" t="s">
        <v>49</v>
      </c>
      <c r="B5" s="4">
        <v>330567</v>
      </c>
      <c r="D5" s="3" t="s">
        <v>22</v>
      </c>
      <c r="E5" s="4">
        <v>8204.7407407407409</v>
      </c>
    </row>
    <row r="6" spans="1:5" x14ac:dyDescent="0.3">
      <c r="A6" s="3" t="s">
        <v>14</v>
      </c>
      <c r="B6" s="4">
        <v>397438</v>
      </c>
      <c r="D6" s="3" t="s">
        <v>40</v>
      </c>
      <c r="E6" s="4">
        <v>8982.9803921568619</v>
      </c>
    </row>
    <row r="7" spans="1:5" x14ac:dyDescent="0.3">
      <c r="A7" s="3" t="s">
        <v>27</v>
      </c>
      <c r="B7" s="4">
        <v>540181</v>
      </c>
      <c r="D7" s="3" t="s">
        <v>37</v>
      </c>
      <c r="E7" s="4">
        <v>6986.4888888888891</v>
      </c>
    </row>
    <row r="8" spans="1:5" x14ac:dyDescent="0.3">
      <c r="A8" s="3" t="s">
        <v>202</v>
      </c>
      <c r="B8" s="4">
        <v>1645857</v>
      </c>
      <c r="D8" s="3" t="s">
        <v>202</v>
      </c>
      <c r="E8" s="4">
        <v>8229.2849999999999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selection activeCell="D15" sqref="A1:M201"/>
    </sheetView>
  </sheetViews>
  <sheetFormatPr defaultRowHeight="14.4" x14ac:dyDescent="0.3"/>
  <cols>
    <col min="2" max="2" width="11.21875" bestFit="1" customWidth="1"/>
    <col min="3" max="3" width="10" bestFit="1" customWidth="1"/>
    <col min="4" max="4" width="15.77734375" bestFit="1" customWidth="1"/>
    <col min="5" max="5" width="19.109375" bestFit="1" customWidth="1"/>
    <col min="10" max="10" width="16" bestFit="1" customWidth="1"/>
    <col min="12" max="12" width="13.88671875" customWidth="1"/>
    <col min="13" max="13" width="1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200</v>
      </c>
    </row>
    <row r="2" spans="1:13" x14ac:dyDescent="0.3">
      <c r="A2">
        <v>1001</v>
      </c>
      <c r="B2" t="s">
        <v>12</v>
      </c>
      <c r="C2" t="s">
        <v>13</v>
      </c>
      <c r="D2" t="s">
        <v>14</v>
      </c>
      <c r="E2" t="s">
        <v>15</v>
      </c>
      <c r="F2">
        <v>12449</v>
      </c>
      <c r="G2">
        <v>3</v>
      </c>
      <c r="H2">
        <v>125</v>
      </c>
      <c r="I2">
        <v>3</v>
      </c>
      <c r="J2" t="s">
        <v>16</v>
      </c>
      <c r="K2" t="s">
        <v>17</v>
      </c>
      <c r="L2" t="s">
        <v>18</v>
      </c>
      <c r="M2">
        <f>(F2*G2)-H2</f>
        <v>37222</v>
      </c>
    </row>
    <row r="3" spans="1:13" x14ac:dyDescent="0.3">
      <c r="A3">
        <v>1002</v>
      </c>
      <c r="B3" t="s">
        <v>19</v>
      </c>
      <c r="C3" t="s">
        <v>20</v>
      </c>
      <c r="D3" t="s">
        <v>14</v>
      </c>
      <c r="E3" t="s">
        <v>21</v>
      </c>
      <c r="F3">
        <v>4111</v>
      </c>
      <c r="G3">
        <v>5</v>
      </c>
      <c r="H3">
        <v>308</v>
      </c>
      <c r="I3">
        <v>2</v>
      </c>
      <c r="J3" t="s">
        <v>22</v>
      </c>
      <c r="K3" t="s">
        <v>23</v>
      </c>
      <c r="L3" t="s">
        <v>24</v>
      </c>
      <c r="M3">
        <f t="shared" ref="M3:M66" si="0">(F3*G3)-H3</f>
        <v>20247</v>
      </c>
    </row>
    <row r="4" spans="1:13" x14ac:dyDescent="0.3">
      <c r="A4">
        <v>1003</v>
      </c>
      <c r="B4" t="s">
        <v>25</v>
      </c>
      <c r="C4" t="s">
        <v>26</v>
      </c>
      <c r="D4" t="s">
        <v>27</v>
      </c>
      <c r="E4" t="s">
        <v>28</v>
      </c>
      <c r="F4">
        <v>12732</v>
      </c>
      <c r="G4">
        <v>2</v>
      </c>
      <c r="H4">
        <v>357</v>
      </c>
      <c r="I4">
        <v>5</v>
      </c>
      <c r="J4" t="s">
        <v>22</v>
      </c>
      <c r="K4" t="s">
        <v>23</v>
      </c>
      <c r="L4" t="s">
        <v>29</v>
      </c>
      <c r="M4">
        <f t="shared" si="0"/>
        <v>25107</v>
      </c>
    </row>
    <row r="5" spans="1:13" x14ac:dyDescent="0.3">
      <c r="A5">
        <v>1004</v>
      </c>
      <c r="B5" t="s">
        <v>30</v>
      </c>
      <c r="C5" t="s">
        <v>13</v>
      </c>
      <c r="D5" t="s">
        <v>14</v>
      </c>
      <c r="E5" t="s">
        <v>31</v>
      </c>
      <c r="F5">
        <v>1884</v>
      </c>
      <c r="G5">
        <v>3</v>
      </c>
      <c r="H5">
        <v>433</v>
      </c>
      <c r="I5">
        <v>4</v>
      </c>
      <c r="J5" t="s">
        <v>16</v>
      </c>
      <c r="K5" t="s">
        <v>32</v>
      </c>
      <c r="L5" t="s">
        <v>33</v>
      </c>
      <c r="M5">
        <f t="shared" si="0"/>
        <v>5219</v>
      </c>
    </row>
    <row r="6" spans="1:13" x14ac:dyDescent="0.3">
      <c r="A6">
        <v>1005</v>
      </c>
      <c r="B6" t="s">
        <v>34</v>
      </c>
      <c r="C6" t="s">
        <v>13</v>
      </c>
      <c r="D6" t="s">
        <v>35</v>
      </c>
      <c r="E6" t="s">
        <v>36</v>
      </c>
      <c r="F6">
        <v>9344</v>
      </c>
      <c r="G6">
        <v>3</v>
      </c>
      <c r="H6">
        <v>424</v>
      </c>
      <c r="I6">
        <v>4</v>
      </c>
      <c r="J6" t="s">
        <v>37</v>
      </c>
      <c r="K6" t="s">
        <v>32</v>
      </c>
      <c r="L6" t="s">
        <v>38</v>
      </c>
      <c r="M6">
        <f t="shared" si="0"/>
        <v>27608</v>
      </c>
    </row>
    <row r="7" spans="1:13" x14ac:dyDescent="0.3">
      <c r="A7">
        <v>1006</v>
      </c>
      <c r="B7" t="s">
        <v>39</v>
      </c>
      <c r="C7" t="s">
        <v>20</v>
      </c>
      <c r="D7" t="s">
        <v>27</v>
      </c>
      <c r="E7" t="s">
        <v>28</v>
      </c>
      <c r="F7">
        <v>14313</v>
      </c>
      <c r="G7">
        <v>2</v>
      </c>
      <c r="H7">
        <v>443</v>
      </c>
      <c r="I7">
        <v>2</v>
      </c>
      <c r="J7" t="s">
        <v>40</v>
      </c>
      <c r="K7" t="s">
        <v>17</v>
      </c>
      <c r="L7" t="s">
        <v>41</v>
      </c>
      <c r="M7">
        <f t="shared" si="0"/>
        <v>28183</v>
      </c>
    </row>
    <row r="8" spans="1:13" x14ac:dyDescent="0.3">
      <c r="A8">
        <v>1007</v>
      </c>
      <c r="B8" t="s">
        <v>30</v>
      </c>
      <c r="C8" t="s">
        <v>26</v>
      </c>
      <c r="D8" t="s">
        <v>27</v>
      </c>
      <c r="E8" t="s">
        <v>42</v>
      </c>
      <c r="F8">
        <v>11280</v>
      </c>
      <c r="G8">
        <v>3</v>
      </c>
      <c r="H8">
        <v>359</v>
      </c>
      <c r="I8">
        <v>2</v>
      </c>
      <c r="J8" t="s">
        <v>22</v>
      </c>
      <c r="K8" t="s">
        <v>23</v>
      </c>
      <c r="L8" t="s">
        <v>43</v>
      </c>
      <c r="M8">
        <f t="shared" si="0"/>
        <v>33481</v>
      </c>
    </row>
    <row r="9" spans="1:13" x14ac:dyDescent="0.3">
      <c r="A9">
        <v>1008</v>
      </c>
      <c r="B9" t="s">
        <v>44</v>
      </c>
      <c r="C9" t="s">
        <v>45</v>
      </c>
      <c r="D9" t="s">
        <v>27</v>
      </c>
      <c r="E9" t="s">
        <v>46</v>
      </c>
      <c r="F9">
        <v>3898</v>
      </c>
      <c r="G9">
        <v>3</v>
      </c>
      <c r="H9">
        <v>431</v>
      </c>
      <c r="I9">
        <v>2</v>
      </c>
      <c r="J9" t="s">
        <v>16</v>
      </c>
      <c r="K9" t="s">
        <v>23</v>
      </c>
      <c r="L9" t="s">
        <v>47</v>
      </c>
      <c r="M9">
        <f t="shared" si="0"/>
        <v>11263</v>
      </c>
    </row>
    <row r="10" spans="1:13" x14ac:dyDescent="0.3">
      <c r="A10">
        <v>1009</v>
      </c>
      <c r="B10" t="s">
        <v>48</v>
      </c>
      <c r="C10" t="s">
        <v>26</v>
      </c>
      <c r="D10" t="s">
        <v>49</v>
      </c>
      <c r="E10" t="s">
        <v>50</v>
      </c>
      <c r="F10">
        <v>14658</v>
      </c>
      <c r="G10">
        <v>3</v>
      </c>
      <c r="H10">
        <v>108</v>
      </c>
      <c r="I10">
        <v>5</v>
      </c>
      <c r="J10" t="s">
        <v>40</v>
      </c>
      <c r="K10" t="s">
        <v>17</v>
      </c>
      <c r="L10" t="s">
        <v>51</v>
      </c>
      <c r="M10">
        <f t="shared" si="0"/>
        <v>43866</v>
      </c>
    </row>
    <row r="11" spans="1:13" x14ac:dyDescent="0.3">
      <c r="A11">
        <v>1010</v>
      </c>
      <c r="B11" t="s">
        <v>44</v>
      </c>
      <c r="C11" t="s">
        <v>20</v>
      </c>
      <c r="D11" t="s">
        <v>27</v>
      </c>
      <c r="E11" t="s">
        <v>46</v>
      </c>
      <c r="F11">
        <v>7319</v>
      </c>
      <c r="G11">
        <v>5</v>
      </c>
      <c r="H11">
        <v>204</v>
      </c>
      <c r="I11">
        <v>4</v>
      </c>
      <c r="J11" t="s">
        <v>37</v>
      </c>
      <c r="K11" t="s">
        <v>17</v>
      </c>
      <c r="L11" t="s">
        <v>52</v>
      </c>
      <c r="M11">
        <f t="shared" si="0"/>
        <v>36391</v>
      </c>
    </row>
    <row r="12" spans="1:13" x14ac:dyDescent="0.3">
      <c r="A12">
        <v>1011</v>
      </c>
      <c r="B12" t="s">
        <v>30</v>
      </c>
      <c r="C12" t="s">
        <v>20</v>
      </c>
      <c r="D12" t="s">
        <v>14</v>
      </c>
      <c r="E12" t="s">
        <v>21</v>
      </c>
      <c r="F12">
        <v>10580</v>
      </c>
      <c r="G12">
        <v>2</v>
      </c>
      <c r="H12">
        <v>405</v>
      </c>
      <c r="I12">
        <v>5</v>
      </c>
      <c r="J12" t="s">
        <v>16</v>
      </c>
      <c r="K12" t="s">
        <v>32</v>
      </c>
      <c r="L12" t="s">
        <v>53</v>
      </c>
      <c r="M12">
        <f t="shared" si="0"/>
        <v>20755</v>
      </c>
    </row>
    <row r="13" spans="1:13" x14ac:dyDescent="0.3">
      <c r="A13">
        <v>1012</v>
      </c>
      <c r="B13" t="s">
        <v>54</v>
      </c>
      <c r="C13" t="s">
        <v>45</v>
      </c>
      <c r="D13" t="s">
        <v>27</v>
      </c>
      <c r="E13" t="s">
        <v>46</v>
      </c>
      <c r="F13">
        <v>14403</v>
      </c>
      <c r="G13">
        <v>1</v>
      </c>
      <c r="H13">
        <v>348</v>
      </c>
      <c r="I13">
        <v>2</v>
      </c>
      <c r="J13" t="s">
        <v>40</v>
      </c>
      <c r="K13" t="s">
        <v>17</v>
      </c>
      <c r="L13" t="s">
        <v>55</v>
      </c>
      <c r="M13">
        <f t="shared" si="0"/>
        <v>14055</v>
      </c>
    </row>
    <row r="14" spans="1:13" x14ac:dyDescent="0.3">
      <c r="A14">
        <v>1013</v>
      </c>
      <c r="B14" t="s">
        <v>56</v>
      </c>
      <c r="C14" t="s">
        <v>13</v>
      </c>
      <c r="D14" t="s">
        <v>35</v>
      </c>
      <c r="E14" t="s">
        <v>57</v>
      </c>
      <c r="F14">
        <v>7733</v>
      </c>
      <c r="G14">
        <v>1</v>
      </c>
      <c r="H14">
        <v>488</v>
      </c>
      <c r="I14">
        <v>4</v>
      </c>
      <c r="J14" t="s">
        <v>40</v>
      </c>
      <c r="K14" t="s">
        <v>32</v>
      </c>
      <c r="L14" t="s">
        <v>58</v>
      </c>
      <c r="M14">
        <f t="shared" si="0"/>
        <v>7245</v>
      </c>
    </row>
    <row r="15" spans="1:13" x14ac:dyDescent="0.3">
      <c r="A15">
        <v>1014</v>
      </c>
      <c r="B15" t="s">
        <v>30</v>
      </c>
      <c r="C15" t="s">
        <v>20</v>
      </c>
      <c r="D15" t="s">
        <v>49</v>
      </c>
      <c r="E15" t="s">
        <v>59</v>
      </c>
      <c r="F15">
        <v>6426</v>
      </c>
      <c r="G15">
        <v>2</v>
      </c>
      <c r="H15">
        <v>276</v>
      </c>
      <c r="I15">
        <v>2</v>
      </c>
      <c r="J15" t="s">
        <v>37</v>
      </c>
      <c r="K15" t="s">
        <v>17</v>
      </c>
      <c r="L15" t="s">
        <v>60</v>
      </c>
      <c r="M15">
        <f t="shared" si="0"/>
        <v>12576</v>
      </c>
    </row>
    <row r="16" spans="1:13" x14ac:dyDescent="0.3">
      <c r="A16">
        <v>1015</v>
      </c>
      <c r="B16" t="s">
        <v>61</v>
      </c>
      <c r="C16" t="s">
        <v>13</v>
      </c>
      <c r="D16" t="s">
        <v>27</v>
      </c>
      <c r="E16" t="s">
        <v>62</v>
      </c>
      <c r="F16">
        <v>4223</v>
      </c>
      <c r="G16">
        <v>1</v>
      </c>
      <c r="H16">
        <v>123</v>
      </c>
      <c r="I16">
        <v>2</v>
      </c>
      <c r="J16" t="s">
        <v>22</v>
      </c>
      <c r="K16" t="s">
        <v>17</v>
      </c>
      <c r="L16" t="s">
        <v>63</v>
      </c>
      <c r="M16">
        <f t="shared" si="0"/>
        <v>4100</v>
      </c>
    </row>
    <row r="17" spans="1:13" x14ac:dyDescent="0.3">
      <c r="A17">
        <v>1016</v>
      </c>
      <c r="B17" t="s">
        <v>64</v>
      </c>
      <c r="C17" t="s">
        <v>26</v>
      </c>
      <c r="D17" t="s">
        <v>35</v>
      </c>
      <c r="E17" t="s">
        <v>65</v>
      </c>
      <c r="F17">
        <v>3005</v>
      </c>
      <c r="G17">
        <v>3</v>
      </c>
      <c r="H17">
        <v>270</v>
      </c>
      <c r="I17">
        <v>5</v>
      </c>
      <c r="J17" t="s">
        <v>40</v>
      </c>
      <c r="K17" t="s">
        <v>23</v>
      </c>
      <c r="L17" t="s">
        <v>66</v>
      </c>
      <c r="M17">
        <f t="shared" si="0"/>
        <v>8745</v>
      </c>
    </row>
    <row r="18" spans="1:13" x14ac:dyDescent="0.3">
      <c r="A18">
        <v>1017</v>
      </c>
      <c r="B18" t="s">
        <v>44</v>
      </c>
      <c r="C18" t="s">
        <v>45</v>
      </c>
      <c r="D18" t="s">
        <v>27</v>
      </c>
      <c r="E18" t="s">
        <v>67</v>
      </c>
      <c r="F18">
        <v>8779</v>
      </c>
      <c r="G18">
        <v>4</v>
      </c>
      <c r="H18">
        <v>61</v>
      </c>
      <c r="I18">
        <v>3</v>
      </c>
      <c r="J18" t="s">
        <v>37</v>
      </c>
      <c r="K18" t="s">
        <v>32</v>
      </c>
      <c r="L18" t="s">
        <v>68</v>
      </c>
      <c r="M18">
        <f t="shared" si="0"/>
        <v>35055</v>
      </c>
    </row>
    <row r="19" spans="1:13" x14ac:dyDescent="0.3">
      <c r="A19">
        <v>1018</v>
      </c>
      <c r="B19" t="s">
        <v>44</v>
      </c>
      <c r="C19" t="s">
        <v>13</v>
      </c>
      <c r="D19" t="s">
        <v>49</v>
      </c>
      <c r="E19" t="s">
        <v>50</v>
      </c>
      <c r="F19">
        <v>3908</v>
      </c>
      <c r="G19">
        <v>1</v>
      </c>
      <c r="H19">
        <v>36</v>
      </c>
      <c r="I19">
        <v>2</v>
      </c>
      <c r="J19" t="s">
        <v>40</v>
      </c>
      <c r="K19" t="s">
        <v>17</v>
      </c>
      <c r="L19" t="s">
        <v>69</v>
      </c>
      <c r="M19">
        <f t="shared" si="0"/>
        <v>3872</v>
      </c>
    </row>
    <row r="20" spans="1:13" x14ac:dyDescent="0.3">
      <c r="A20">
        <v>1019</v>
      </c>
      <c r="B20" t="s">
        <v>70</v>
      </c>
      <c r="C20" t="s">
        <v>20</v>
      </c>
      <c r="D20" t="s">
        <v>49</v>
      </c>
      <c r="E20" t="s">
        <v>71</v>
      </c>
      <c r="F20">
        <v>11260</v>
      </c>
      <c r="G20">
        <v>4</v>
      </c>
      <c r="H20">
        <v>109</v>
      </c>
      <c r="I20">
        <v>3</v>
      </c>
      <c r="J20" t="s">
        <v>22</v>
      </c>
      <c r="K20" t="s">
        <v>23</v>
      </c>
      <c r="L20" t="s">
        <v>72</v>
      </c>
      <c r="M20">
        <f t="shared" si="0"/>
        <v>44931</v>
      </c>
    </row>
    <row r="21" spans="1:13" x14ac:dyDescent="0.3">
      <c r="A21">
        <v>1020</v>
      </c>
      <c r="B21" t="s">
        <v>73</v>
      </c>
      <c r="C21" t="s">
        <v>20</v>
      </c>
      <c r="D21" t="s">
        <v>35</v>
      </c>
      <c r="E21" t="s">
        <v>57</v>
      </c>
      <c r="F21">
        <v>1845</v>
      </c>
      <c r="G21">
        <v>1</v>
      </c>
      <c r="H21">
        <v>337</v>
      </c>
      <c r="I21">
        <v>5</v>
      </c>
      <c r="J21" t="s">
        <v>16</v>
      </c>
      <c r="K21" t="s">
        <v>32</v>
      </c>
      <c r="L21" t="s">
        <v>74</v>
      </c>
      <c r="M21">
        <f t="shared" si="0"/>
        <v>1508</v>
      </c>
    </row>
    <row r="22" spans="1:13" x14ac:dyDescent="0.3">
      <c r="A22">
        <v>1021</v>
      </c>
      <c r="B22" t="s">
        <v>75</v>
      </c>
      <c r="C22" t="s">
        <v>26</v>
      </c>
      <c r="D22" t="s">
        <v>14</v>
      </c>
      <c r="E22" t="s">
        <v>15</v>
      </c>
      <c r="F22">
        <v>6896</v>
      </c>
      <c r="G22">
        <v>3</v>
      </c>
      <c r="H22">
        <v>409</v>
      </c>
      <c r="I22">
        <v>2</v>
      </c>
      <c r="J22" t="s">
        <v>16</v>
      </c>
      <c r="K22" t="s">
        <v>17</v>
      </c>
      <c r="L22" t="s">
        <v>76</v>
      </c>
      <c r="M22">
        <f t="shared" si="0"/>
        <v>20279</v>
      </c>
    </row>
    <row r="23" spans="1:13" x14ac:dyDescent="0.3">
      <c r="A23">
        <v>1022</v>
      </c>
      <c r="B23" t="s">
        <v>77</v>
      </c>
      <c r="C23" t="s">
        <v>13</v>
      </c>
      <c r="D23" t="s">
        <v>49</v>
      </c>
      <c r="E23" t="s">
        <v>71</v>
      </c>
      <c r="F23">
        <v>7879</v>
      </c>
      <c r="G23">
        <v>2</v>
      </c>
      <c r="H23">
        <v>447</v>
      </c>
      <c r="I23">
        <v>2</v>
      </c>
      <c r="J23" t="s">
        <v>37</v>
      </c>
      <c r="K23" t="s">
        <v>32</v>
      </c>
      <c r="L23" t="s">
        <v>78</v>
      </c>
      <c r="M23">
        <f t="shared" si="0"/>
        <v>15311</v>
      </c>
    </row>
    <row r="24" spans="1:13" x14ac:dyDescent="0.3">
      <c r="A24">
        <v>1023</v>
      </c>
      <c r="B24" t="s">
        <v>79</v>
      </c>
      <c r="C24" t="s">
        <v>26</v>
      </c>
      <c r="D24" t="s">
        <v>14</v>
      </c>
      <c r="E24" t="s">
        <v>15</v>
      </c>
      <c r="F24">
        <v>12646</v>
      </c>
      <c r="G24">
        <v>2</v>
      </c>
      <c r="H24">
        <v>85</v>
      </c>
      <c r="I24">
        <v>5</v>
      </c>
      <c r="J24" t="s">
        <v>16</v>
      </c>
      <c r="K24" t="s">
        <v>17</v>
      </c>
      <c r="L24" t="s">
        <v>80</v>
      </c>
      <c r="M24">
        <f t="shared" si="0"/>
        <v>25207</v>
      </c>
    </row>
    <row r="25" spans="1:13" x14ac:dyDescent="0.3">
      <c r="A25">
        <v>1024</v>
      </c>
      <c r="B25" t="s">
        <v>81</v>
      </c>
      <c r="C25" t="s">
        <v>20</v>
      </c>
      <c r="D25" t="s">
        <v>35</v>
      </c>
      <c r="E25" t="s">
        <v>36</v>
      </c>
      <c r="F25">
        <v>6696</v>
      </c>
      <c r="G25">
        <v>3</v>
      </c>
      <c r="H25">
        <v>474</v>
      </c>
      <c r="I25">
        <v>5</v>
      </c>
      <c r="J25" t="s">
        <v>22</v>
      </c>
      <c r="K25" t="s">
        <v>17</v>
      </c>
      <c r="L25" t="s">
        <v>55</v>
      </c>
      <c r="M25">
        <f t="shared" si="0"/>
        <v>19614</v>
      </c>
    </row>
    <row r="26" spans="1:13" x14ac:dyDescent="0.3">
      <c r="A26">
        <v>1025</v>
      </c>
      <c r="B26" t="s">
        <v>82</v>
      </c>
      <c r="C26" t="s">
        <v>20</v>
      </c>
      <c r="D26" t="s">
        <v>49</v>
      </c>
      <c r="E26" t="s">
        <v>83</v>
      </c>
      <c r="F26">
        <v>9789</v>
      </c>
      <c r="G26">
        <v>5</v>
      </c>
      <c r="H26">
        <v>31</v>
      </c>
      <c r="I26">
        <v>4</v>
      </c>
      <c r="J26" t="s">
        <v>22</v>
      </c>
      <c r="K26" t="s">
        <v>17</v>
      </c>
      <c r="L26" t="s">
        <v>69</v>
      </c>
      <c r="M26">
        <f t="shared" si="0"/>
        <v>48914</v>
      </c>
    </row>
    <row r="27" spans="1:13" x14ac:dyDescent="0.3">
      <c r="A27">
        <v>1026</v>
      </c>
      <c r="B27" t="s">
        <v>48</v>
      </c>
      <c r="C27" t="s">
        <v>26</v>
      </c>
      <c r="D27" t="s">
        <v>14</v>
      </c>
      <c r="E27" t="s">
        <v>21</v>
      </c>
      <c r="F27">
        <v>1422</v>
      </c>
      <c r="G27">
        <v>5</v>
      </c>
      <c r="H27">
        <v>34</v>
      </c>
      <c r="I27">
        <v>3</v>
      </c>
      <c r="J27" t="s">
        <v>37</v>
      </c>
      <c r="K27" t="s">
        <v>32</v>
      </c>
      <c r="L27" t="s">
        <v>84</v>
      </c>
      <c r="M27">
        <f t="shared" si="0"/>
        <v>7076</v>
      </c>
    </row>
    <row r="28" spans="1:13" x14ac:dyDescent="0.3">
      <c r="A28">
        <v>1027</v>
      </c>
      <c r="B28" t="s">
        <v>64</v>
      </c>
      <c r="C28" t="s">
        <v>26</v>
      </c>
      <c r="D28" t="s">
        <v>35</v>
      </c>
      <c r="E28" t="s">
        <v>65</v>
      </c>
      <c r="F28">
        <v>9560</v>
      </c>
      <c r="G28">
        <v>5</v>
      </c>
      <c r="H28">
        <v>161</v>
      </c>
      <c r="I28">
        <v>4</v>
      </c>
      <c r="J28" t="s">
        <v>40</v>
      </c>
      <c r="K28" t="s">
        <v>23</v>
      </c>
      <c r="L28" t="s">
        <v>85</v>
      </c>
      <c r="M28">
        <f t="shared" si="0"/>
        <v>47639</v>
      </c>
    </row>
    <row r="29" spans="1:13" x14ac:dyDescent="0.3">
      <c r="A29">
        <v>1028</v>
      </c>
      <c r="B29" t="s">
        <v>86</v>
      </c>
      <c r="C29" t="s">
        <v>13</v>
      </c>
      <c r="D29" t="s">
        <v>27</v>
      </c>
      <c r="E29" t="s">
        <v>67</v>
      </c>
      <c r="F29">
        <v>5480</v>
      </c>
      <c r="G29">
        <v>1</v>
      </c>
      <c r="H29">
        <v>4</v>
      </c>
      <c r="I29">
        <v>5</v>
      </c>
      <c r="J29" t="s">
        <v>37</v>
      </c>
      <c r="K29" t="s">
        <v>32</v>
      </c>
      <c r="L29" t="s">
        <v>87</v>
      </c>
      <c r="M29">
        <f t="shared" si="0"/>
        <v>5476</v>
      </c>
    </row>
    <row r="30" spans="1:13" x14ac:dyDescent="0.3">
      <c r="A30">
        <v>1029</v>
      </c>
      <c r="B30" t="s">
        <v>88</v>
      </c>
      <c r="C30" t="s">
        <v>26</v>
      </c>
      <c r="D30" t="s">
        <v>27</v>
      </c>
      <c r="E30" t="s">
        <v>42</v>
      </c>
      <c r="F30">
        <v>6018</v>
      </c>
      <c r="G30">
        <v>1</v>
      </c>
      <c r="H30">
        <v>450</v>
      </c>
      <c r="I30">
        <v>3</v>
      </c>
      <c r="J30" t="s">
        <v>16</v>
      </c>
      <c r="K30" t="s">
        <v>32</v>
      </c>
      <c r="L30" t="s">
        <v>89</v>
      </c>
      <c r="M30">
        <f t="shared" si="0"/>
        <v>5568</v>
      </c>
    </row>
    <row r="31" spans="1:13" x14ac:dyDescent="0.3">
      <c r="A31">
        <v>1030</v>
      </c>
      <c r="B31" t="s">
        <v>90</v>
      </c>
      <c r="C31" t="s">
        <v>26</v>
      </c>
      <c r="D31" t="s">
        <v>27</v>
      </c>
      <c r="E31" t="s">
        <v>46</v>
      </c>
      <c r="F31">
        <v>13523</v>
      </c>
      <c r="G31">
        <v>5</v>
      </c>
      <c r="H31">
        <v>4</v>
      </c>
      <c r="I31">
        <v>4</v>
      </c>
      <c r="J31" t="s">
        <v>40</v>
      </c>
      <c r="K31" t="s">
        <v>17</v>
      </c>
      <c r="L31" t="s">
        <v>91</v>
      </c>
      <c r="M31">
        <f t="shared" si="0"/>
        <v>67611</v>
      </c>
    </row>
    <row r="32" spans="1:13" x14ac:dyDescent="0.3">
      <c r="A32">
        <v>1031</v>
      </c>
      <c r="B32" t="s">
        <v>30</v>
      </c>
      <c r="C32" t="s">
        <v>45</v>
      </c>
      <c r="D32" t="s">
        <v>14</v>
      </c>
      <c r="E32" t="s">
        <v>92</v>
      </c>
      <c r="F32">
        <v>9364</v>
      </c>
      <c r="G32">
        <v>2</v>
      </c>
      <c r="H32">
        <v>139</v>
      </c>
      <c r="I32">
        <v>4</v>
      </c>
      <c r="J32" t="s">
        <v>22</v>
      </c>
      <c r="K32" t="s">
        <v>32</v>
      </c>
      <c r="L32" t="s">
        <v>93</v>
      </c>
      <c r="M32">
        <f t="shared" si="0"/>
        <v>18589</v>
      </c>
    </row>
    <row r="33" spans="1:13" x14ac:dyDescent="0.3">
      <c r="A33">
        <v>1032</v>
      </c>
      <c r="B33" t="s">
        <v>61</v>
      </c>
      <c r="C33" t="s">
        <v>45</v>
      </c>
      <c r="D33" t="s">
        <v>27</v>
      </c>
      <c r="E33" t="s">
        <v>46</v>
      </c>
      <c r="F33">
        <v>8304</v>
      </c>
      <c r="G33">
        <v>3</v>
      </c>
      <c r="H33">
        <v>463</v>
      </c>
      <c r="I33">
        <v>2</v>
      </c>
      <c r="J33" t="s">
        <v>37</v>
      </c>
      <c r="K33" t="s">
        <v>17</v>
      </c>
      <c r="L33" t="s">
        <v>94</v>
      </c>
      <c r="M33">
        <f t="shared" si="0"/>
        <v>24449</v>
      </c>
    </row>
    <row r="34" spans="1:13" x14ac:dyDescent="0.3">
      <c r="A34">
        <v>1033</v>
      </c>
      <c r="B34" t="s">
        <v>19</v>
      </c>
      <c r="C34" t="s">
        <v>13</v>
      </c>
      <c r="D34" t="s">
        <v>49</v>
      </c>
      <c r="E34" t="s">
        <v>95</v>
      </c>
      <c r="F34">
        <v>4591</v>
      </c>
      <c r="G34">
        <v>2</v>
      </c>
      <c r="H34">
        <v>379</v>
      </c>
      <c r="I34">
        <v>5</v>
      </c>
      <c r="J34" t="s">
        <v>37</v>
      </c>
      <c r="K34" t="s">
        <v>17</v>
      </c>
      <c r="L34" t="s">
        <v>96</v>
      </c>
      <c r="M34">
        <f t="shared" si="0"/>
        <v>8803</v>
      </c>
    </row>
    <row r="35" spans="1:13" x14ac:dyDescent="0.3">
      <c r="A35">
        <v>1034</v>
      </c>
      <c r="B35" t="s">
        <v>97</v>
      </c>
      <c r="C35" t="s">
        <v>13</v>
      </c>
      <c r="D35" t="s">
        <v>49</v>
      </c>
      <c r="E35" t="s">
        <v>50</v>
      </c>
      <c r="F35">
        <v>890</v>
      </c>
      <c r="G35">
        <v>3</v>
      </c>
      <c r="H35">
        <v>298</v>
      </c>
      <c r="I35">
        <v>3</v>
      </c>
      <c r="J35" t="s">
        <v>40</v>
      </c>
      <c r="K35" t="s">
        <v>23</v>
      </c>
      <c r="L35" t="s">
        <v>98</v>
      </c>
      <c r="M35">
        <f t="shared" si="0"/>
        <v>2372</v>
      </c>
    </row>
    <row r="36" spans="1:13" x14ac:dyDescent="0.3">
      <c r="A36">
        <v>1035</v>
      </c>
      <c r="B36" t="s">
        <v>73</v>
      </c>
      <c r="C36" t="s">
        <v>20</v>
      </c>
      <c r="D36" t="s">
        <v>14</v>
      </c>
      <c r="E36" t="s">
        <v>99</v>
      </c>
      <c r="F36">
        <v>3741</v>
      </c>
      <c r="G36">
        <v>2</v>
      </c>
      <c r="H36">
        <v>341</v>
      </c>
      <c r="I36">
        <v>2</v>
      </c>
      <c r="J36" t="s">
        <v>22</v>
      </c>
      <c r="K36" t="s">
        <v>17</v>
      </c>
      <c r="L36" t="s">
        <v>52</v>
      </c>
      <c r="M36">
        <f t="shared" si="0"/>
        <v>7141</v>
      </c>
    </row>
    <row r="37" spans="1:13" x14ac:dyDescent="0.3">
      <c r="A37">
        <v>1036</v>
      </c>
      <c r="B37" t="s">
        <v>100</v>
      </c>
      <c r="C37" t="s">
        <v>20</v>
      </c>
      <c r="D37" t="s">
        <v>49</v>
      </c>
      <c r="E37" t="s">
        <v>59</v>
      </c>
      <c r="F37">
        <v>14741</v>
      </c>
      <c r="G37">
        <v>4</v>
      </c>
      <c r="H37">
        <v>12</v>
      </c>
      <c r="I37">
        <v>3</v>
      </c>
      <c r="J37" t="s">
        <v>22</v>
      </c>
      <c r="K37" t="s">
        <v>23</v>
      </c>
      <c r="L37" t="s">
        <v>101</v>
      </c>
      <c r="M37">
        <f t="shared" si="0"/>
        <v>58952</v>
      </c>
    </row>
    <row r="38" spans="1:13" x14ac:dyDescent="0.3">
      <c r="A38">
        <v>1037</v>
      </c>
      <c r="B38" t="s">
        <v>44</v>
      </c>
      <c r="C38" t="s">
        <v>20</v>
      </c>
      <c r="D38" t="s">
        <v>14</v>
      </c>
      <c r="E38" t="s">
        <v>31</v>
      </c>
      <c r="F38">
        <v>14589</v>
      </c>
      <c r="G38">
        <v>1</v>
      </c>
      <c r="H38">
        <v>439</v>
      </c>
      <c r="I38">
        <v>5</v>
      </c>
      <c r="J38" t="s">
        <v>40</v>
      </c>
      <c r="K38" t="s">
        <v>23</v>
      </c>
      <c r="L38" t="s">
        <v>102</v>
      </c>
      <c r="M38">
        <f t="shared" si="0"/>
        <v>14150</v>
      </c>
    </row>
    <row r="39" spans="1:13" x14ac:dyDescent="0.3">
      <c r="A39">
        <v>1038</v>
      </c>
      <c r="B39" t="s">
        <v>103</v>
      </c>
      <c r="C39" t="s">
        <v>45</v>
      </c>
      <c r="D39" t="s">
        <v>49</v>
      </c>
      <c r="E39" t="s">
        <v>59</v>
      </c>
      <c r="F39">
        <v>687</v>
      </c>
      <c r="G39">
        <v>2</v>
      </c>
      <c r="H39">
        <v>204</v>
      </c>
      <c r="I39">
        <v>4</v>
      </c>
      <c r="J39" t="s">
        <v>40</v>
      </c>
      <c r="K39" t="s">
        <v>32</v>
      </c>
      <c r="L39" t="s">
        <v>69</v>
      </c>
      <c r="M39">
        <f t="shared" si="0"/>
        <v>1170</v>
      </c>
    </row>
    <row r="40" spans="1:13" x14ac:dyDescent="0.3">
      <c r="A40">
        <v>1039</v>
      </c>
      <c r="B40" t="s">
        <v>104</v>
      </c>
      <c r="C40" t="s">
        <v>45</v>
      </c>
      <c r="D40" t="s">
        <v>35</v>
      </c>
      <c r="E40" t="s">
        <v>65</v>
      </c>
      <c r="F40">
        <v>5725</v>
      </c>
      <c r="G40">
        <v>1</v>
      </c>
      <c r="H40">
        <v>59</v>
      </c>
      <c r="I40">
        <v>4</v>
      </c>
      <c r="J40" t="s">
        <v>37</v>
      </c>
      <c r="K40" t="s">
        <v>17</v>
      </c>
      <c r="L40" t="s">
        <v>105</v>
      </c>
      <c r="M40">
        <f t="shared" si="0"/>
        <v>5666</v>
      </c>
    </row>
    <row r="41" spans="1:13" x14ac:dyDescent="0.3">
      <c r="A41">
        <v>1040</v>
      </c>
      <c r="B41" t="s">
        <v>39</v>
      </c>
      <c r="C41" t="s">
        <v>26</v>
      </c>
      <c r="D41" t="s">
        <v>35</v>
      </c>
      <c r="E41" t="s">
        <v>106</v>
      </c>
      <c r="F41">
        <v>12236</v>
      </c>
      <c r="G41">
        <v>3</v>
      </c>
      <c r="H41">
        <v>223</v>
      </c>
      <c r="I41">
        <v>2</v>
      </c>
      <c r="J41" t="s">
        <v>40</v>
      </c>
      <c r="K41" t="s">
        <v>17</v>
      </c>
      <c r="L41" t="s">
        <v>89</v>
      </c>
      <c r="M41">
        <f t="shared" si="0"/>
        <v>36485</v>
      </c>
    </row>
    <row r="42" spans="1:13" x14ac:dyDescent="0.3">
      <c r="A42">
        <v>1041</v>
      </c>
      <c r="B42" t="s">
        <v>88</v>
      </c>
      <c r="C42" t="s">
        <v>13</v>
      </c>
      <c r="D42" t="s">
        <v>35</v>
      </c>
      <c r="E42" t="s">
        <v>36</v>
      </c>
      <c r="F42">
        <v>8818</v>
      </c>
      <c r="G42">
        <v>5</v>
      </c>
      <c r="H42">
        <v>351</v>
      </c>
      <c r="I42">
        <v>3</v>
      </c>
      <c r="J42" t="s">
        <v>40</v>
      </c>
      <c r="K42" t="s">
        <v>32</v>
      </c>
      <c r="L42" t="s">
        <v>107</v>
      </c>
      <c r="M42">
        <f t="shared" si="0"/>
        <v>43739</v>
      </c>
    </row>
    <row r="43" spans="1:13" x14ac:dyDescent="0.3">
      <c r="A43">
        <v>1042</v>
      </c>
      <c r="B43" t="s">
        <v>108</v>
      </c>
      <c r="C43" t="s">
        <v>45</v>
      </c>
      <c r="D43" t="s">
        <v>14</v>
      </c>
      <c r="E43" t="s">
        <v>92</v>
      </c>
      <c r="F43">
        <v>5220</v>
      </c>
      <c r="G43">
        <v>5</v>
      </c>
      <c r="H43">
        <v>158</v>
      </c>
      <c r="I43">
        <v>5</v>
      </c>
      <c r="J43" t="s">
        <v>22</v>
      </c>
      <c r="K43" t="s">
        <v>17</v>
      </c>
      <c r="L43" t="s">
        <v>109</v>
      </c>
      <c r="M43">
        <f t="shared" si="0"/>
        <v>25942</v>
      </c>
    </row>
    <row r="44" spans="1:13" x14ac:dyDescent="0.3">
      <c r="A44">
        <v>1043</v>
      </c>
      <c r="B44" t="s">
        <v>19</v>
      </c>
      <c r="C44" t="s">
        <v>45</v>
      </c>
      <c r="D44" t="s">
        <v>35</v>
      </c>
      <c r="E44" t="s">
        <v>57</v>
      </c>
      <c r="F44">
        <v>10384</v>
      </c>
      <c r="G44">
        <v>5</v>
      </c>
      <c r="H44">
        <v>154</v>
      </c>
      <c r="I44">
        <v>5</v>
      </c>
      <c r="J44" t="s">
        <v>40</v>
      </c>
      <c r="K44" t="s">
        <v>17</v>
      </c>
      <c r="L44" t="s">
        <v>110</v>
      </c>
      <c r="M44">
        <f t="shared" si="0"/>
        <v>51766</v>
      </c>
    </row>
    <row r="45" spans="1:13" x14ac:dyDescent="0.3">
      <c r="A45">
        <v>1044</v>
      </c>
      <c r="B45" t="s">
        <v>56</v>
      </c>
      <c r="C45" t="s">
        <v>26</v>
      </c>
      <c r="D45" t="s">
        <v>27</v>
      </c>
      <c r="E45" t="s">
        <v>67</v>
      </c>
      <c r="F45">
        <v>7538</v>
      </c>
      <c r="G45">
        <v>4</v>
      </c>
      <c r="H45">
        <v>345</v>
      </c>
      <c r="I45">
        <v>3</v>
      </c>
      <c r="J45" t="s">
        <v>37</v>
      </c>
      <c r="K45" t="s">
        <v>23</v>
      </c>
      <c r="L45" t="s">
        <v>69</v>
      </c>
      <c r="M45">
        <f t="shared" si="0"/>
        <v>29807</v>
      </c>
    </row>
    <row r="46" spans="1:13" x14ac:dyDescent="0.3">
      <c r="A46">
        <v>1045</v>
      </c>
      <c r="B46" t="s">
        <v>44</v>
      </c>
      <c r="C46" t="s">
        <v>26</v>
      </c>
      <c r="D46" t="s">
        <v>27</v>
      </c>
      <c r="E46" t="s">
        <v>28</v>
      </c>
      <c r="F46">
        <v>13709</v>
      </c>
      <c r="G46">
        <v>2</v>
      </c>
      <c r="H46">
        <v>344</v>
      </c>
      <c r="I46">
        <v>4</v>
      </c>
      <c r="J46" t="s">
        <v>37</v>
      </c>
      <c r="K46" t="s">
        <v>17</v>
      </c>
      <c r="L46" t="s">
        <v>51</v>
      </c>
      <c r="M46">
        <f t="shared" si="0"/>
        <v>27074</v>
      </c>
    </row>
    <row r="47" spans="1:13" x14ac:dyDescent="0.3">
      <c r="A47">
        <v>1046</v>
      </c>
      <c r="B47" t="s">
        <v>111</v>
      </c>
      <c r="C47" t="s">
        <v>26</v>
      </c>
      <c r="D47" t="s">
        <v>35</v>
      </c>
      <c r="E47" t="s">
        <v>65</v>
      </c>
      <c r="F47">
        <v>14222</v>
      </c>
      <c r="G47">
        <v>1</v>
      </c>
      <c r="H47">
        <v>233</v>
      </c>
      <c r="I47">
        <v>5</v>
      </c>
      <c r="J47" t="s">
        <v>16</v>
      </c>
      <c r="K47" t="s">
        <v>23</v>
      </c>
      <c r="L47" t="s">
        <v>112</v>
      </c>
      <c r="M47">
        <f t="shared" si="0"/>
        <v>13989</v>
      </c>
    </row>
    <row r="48" spans="1:13" x14ac:dyDescent="0.3">
      <c r="A48">
        <v>1047</v>
      </c>
      <c r="B48" t="s">
        <v>113</v>
      </c>
      <c r="C48" t="s">
        <v>26</v>
      </c>
      <c r="D48" t="s">
        <v>49</v>
      </c>
      <c r="E48" t="s">
        <v>59</v>
      </c>
      <c r="F48">
        <v>11048</v>
      </c>
      <c r="G48">
        <v>1</v>
      </c>
      <c r="H48">
        <v>457</v>
      </c>
      <c r="I48">
        <v>2</v>
      </c>
      <c r="J48" t="s">
        <v>22</v>
      </c>
      <c r="K48" t="s">
        <v>32</v>
      </c>
      <c r="L48" t="s">
        <v>114</v>
      </c>
      <c r="M48">
        <f t="shared" si="0"/>
        <v>10591</v>
      </c>
    </row>
    <row r="49" spans="1:13" x14ac:dyDescent="0.3">
      <c r="A49">
        <v>1048</v>
      </c>
      <c r="B49" t="s">
        <v>115</v>
      </c>
      <c r="C49" t="s">
        <v>20</v>
      </c>
      <c r="D49" t="s">
        <v>35</v>
      </c>
      <c r="E49" t="s">
        <v>36</v>
      </c>
      <c r="F49">
        <v>9432</v>
      </c>
      <c r="G49">
        <v>2</v>
      </c>
      <c r="H49">
        <v>469</v>
      </c>
      <c r="I49">
        <v>2</v>
      </c>
      <c r="J49" t="s">
        <v>40</v>
      </c>
      <c r="K49" t="s">
        <v>23</v>
      </c>
      <c r="L49" t="s">
        <v>116</v>
      </c>
      <c r="M49">
        <f t="shared" si="0"/>
        <v>18395</v>
      </c>
    </row>
    <row r="50" spans="1:13" x14ac:dyDescent="0.3">
      <c r="A50">
        <v>1049</v>
      </c>
      <c r="B50" t="s">
        <v>77</v>
      </c>
      <c r="C50" t="s">
        <v>26</v>
      </c>
      <c r="D50" t="s">
        <v>35</v>
      </c>
      <c r="E50" t="s">
        <v>65</v>
      </c>
      <c r="F50">
        <v>7605</v>
      </c>
      <c r="G50">
        <v>2</v>
      </c>
      <c r="H50">
        <v>380</v>
      </c>
      <c r="I50">
        <v>5</v>
      </c>
      <c r="J50" t="s">
        <v>40</v>
      </c>
      <c r="K50" t="s">
        <v>32</v>
      </c>
      <c r="L50" t="s">
        <v>117</v>
      </c>
      <c r="M50">
        <f t="shared" si="0"/>
        <v>14830</v>
      </c>
    </row>
    <row r="51" spans="1:13" x14ac:dyDescent="0.3">
      <c r="A51">
        <v>1050</v>
      </c>
      <c r="B51" t="s">
        <v>75</v>
      </c>
      <c r="C51" t="s">
        <v>45</v>
      </c>
      <c r="D51" t="s">
        <v>49</v>
      </c>
      <c r="E51" t="s">
        <v>71</v>
      </c>
      <c r="F51">
        <v>7506</v>
      </c>
      <c r="G51">
        <v>1</v>
      </c>
      <c r="H51">
        <v>365</v>
      </c>
      <c r="I51">
        <v>4</v>
      </c>
      <c r="J51" t="s">
        <v>40</v>
      </c>
      <c r="K51" t="s">
        <v>32</v>
      </c>
      <c r="L51" t="s">
        <v>84</v>
      </c>
      <c r="M51">
        <f t="shared" si="0"/>
        <v>7141</v>
      </c>
    </row>
    <row r="52" spans="1:13" x14ac:dyDescent="0.3">
      <c r="A52">
        <v>1051</v>
      </c>
      <c r="B52" t="s">
        <v>118</v>
      </c>
      <c r="C52" t="s">
        <v>13</v>
      </c>
      <c r="D52" t="s">
        <v>49</v>
      </c>
      <c r="E52" t="s">
        <v>59</v>
      </c>
      <c r="F52">
        <v>4088</v>
      </c>
      <c r="G52">
        <v>4</v>
      </c>
      <c r="H52">
        <v>355</v>
      </c>
      <c r="I52">
        <v>3</v>
      </c>
      <c r="J52" t="s">
        <v>16</v>
      </c>
      <c r="K52" t="s">
        <v>23</v>
      </c>
      <c r="L52" t="s">
        <v>94</v>
      </c>
      <c r="M52">
        <f t="shared" si="0"/>
        <v>15997</v>
      </c>
    </row>
    <row r="53" spans="1:13" x14ac:dyDescent="0.3">
      <c r="A53">
        <v>1052</v>
      </c>
      <c r="B53" t="s">
        <v>39</v>
      </c>
      <c r="C53" t="s">
        <v>13</v>
      </c>
      <c r="D53" t="s">
        <v>35</v>
      </c>
      <c r="E53" t="s">
        <v>119</v>
      </c>
      <c r="F53">
        <v>1320</v>
      </c>
      <c r="G53">
        <v>2</v>
      </c>
      <c r="H53">
        <v>426</v>
      </c>
      <c r="I53">
        <v>5</v>
      </c>
      <c r="J53" t="s">
        <v>16</v>
      </c>
      <c r="K53" t="s">
        <v>23</v>
      </c>
      <c r="L53" t="s">
        <v>120</v>
      </c>
      <c r="M53">
        <f t="shared" si="0"/>
        <v>2214</v>
      </c>
    </row>
    <row r="54" spans="1:13" x14ac:dyDescent="0.3">
      <c r="A54">
        <v>1053</v>
      </c>
      <c r="B54" t="s">
        <v>121</v>
      </c>
      <c r="C54" t="s">
        <v>26</v>
      </c>
      <c r="D54" t="s">
        <v>27</v>
      </c>
      <c r="E54" t="s">
        <v>62</v>
      </c>
      <c r="F54">
        <v>12644</v>
      </c>
      <c r="G54">
        <v>4</v>
      </c>
      <c r="H54">
        <v>436</v>
      </c>
      <c r="I54">
        <v>5</v>
      </c>
      <c r="J54" t="s">
        <v>16</v>
      </c>
      <c r="K54" t="s">
        <v>17</v>
      </c>
      <c r="L54" t="s">
        <v>122</v>
      </c>
      <c r="M54">
        <f t="shared" si="0"/>
        <v>50140</v>
      </c>
    </row>
    <row r="55" spans="1:13" x14ac:dyDescent="0.3">
      <c r="A55">
        <v>1054</v>
      </c>
      <c r="B55" t="s">
        <v>70</v>
      </c>
      <c r="C55" t="s">
        <v>20</v>
      </c>
      <c r="D55" t="s">
        <v>35</v>
      </c>
      <c r="E55" t="s">
        <v>119</v>
      </c>
      <c r="F55">
        <v>775</v>
      </c>
      <c r="G55">
        <v>4</v>
      </c>
      <c r="H55">
        <v>172</v>
      </c>
      <c r="I55">
        <v>5</v>
      </c>
      <c r="J55" t="s">
        <v>22</v>
      </c>
      <c r="K55" t="s">
        <v>32</v>
      </c>
      <c r="L55" t="s">
        <v>123</v>
      </c>
      <c r="M55">
        <f t="shared" si="0"/>
        <v>2928</v>
      </c>
    </row>
    <row r="56" spans="1:13" x14ac:dyDescent="0.3">
      <c r="A56">
        <v>1055</v>
      </c>
      <c r="B56" t="s">
        <v>61</v>
      </c>
      <c r="C56" t="s">
        <v>26</v>
      </c>
      <c r="D56" t="s">
        <v>14</v>
      </c>
      <c r="E56" t="s">
        <v>31</v>
      </c>
      <c r="F56">
        <v>9997</v>
      </c>
      <c r="G56">
        <v>5</v>
      </c>
      <c r="H56">
        <v>339</v>
      </c>
      <c r="I56">
        <v>2</v>
      </c>
      <c r="J56" t="s">
        <v>16</v>
      </c>
      <c r="K56" t="s">
        <v>17</v>
      </c>
      <c r="L56" t="s">
        <v>74</v>
      </c>
      <c r="M56">
        <f t="shared" si="0"/>
        <v>49646</v>
      </c>
    </row>
    <row r="57" spans="1:13" x14ac:dyDescent="0.3">
      <c r="A57">
        <v>1056</v>
      </c>
      <c r="B57" t="s">
        <v>25</v>
      </c>
      <c r="C57" t="s">
        <v>45</v>
      </c>
      <c r="D57" t="s">
        <v>27</v>
      </c>
      <c r="E57" t="s">
        <v>67</v>
      </c>
      <c r="F57">
        <v>5663</v>
      </c>
      <c r="G57">
        <v>2</v>
      </c>
      <c r="H57">
        <v>232</v>
      </c>
      <c r="I57">
        <v>4</v>
      </c>
      <c r="J57" t="s">
        <v>16</v>
      </c>
      <c r="K57" t="s">
        <v>23</v>
      </c>
      <c r="L57" t="s">
        <v>124</v>
      </c>
      <c r="M57">
        <f t="shared" si="0"/>
        <v>11094</v>
      </c>
    </row>
    <row r="58" spans="1:13" x14ac:dyDescent="0.3">
      <c r="A58">
        <v>1057</v>
      </c>
      <c r="B58" t="s">
        <v>44</v>
      </c>
      <c r="C58" t="s">
        <v>13</v>
      </c>
      <c r="D58" t="s">
        <v>14</v>
      </c>
      <c r="E58" t="s">
        <v>31</v>
      </c>
      <c r="F58">
        <v>617</v>
      </c>
      <c r="G58">
        <v>5</v>
      </c>
      <c r="H58">
        <v>26</v>
      </c>
      <c r="I58">
        <v>4</v>
      </c>
      <c r="J58" t="s">
        <v>37</v>
      </c>
      <c r="K58" t="s">
        <v>17</v>
      </c>
      <c r="L58" t="s">
        <v>125</v>
      </c>
      <c r="M58">
        <f t="shared" si="0"/>
        <v>3059</v>
      </c>
    </row>
    <row r="59" spans="1:13" x14ac:dyDescent="0.3">
      <c r="A59">
        <v>1058</v>
      </c>
      <c r="B59" t="s">
        <v>90</v>
      </c>
      <c r="C59" t="s">
        <v>26</v>
      </c>
      <c r="D59" t="s">
        <v>14</v>
      </c>
      <c r="E59" t="s">
        <v>126</v>
      </c>
      <c r="F59">
        <v>2796</v>
      </c>
      <c r="G59">
        <v>2</v>
      </c>
      <c r="H59">
        <v>64</v>
      </c>
      <c r="I59">
        <v>5</v>
      </c>
      <c r="J59" t="s">
        <v>16</v>
      </c>
      <c r="K59" t="s">
        <v>32</v>
      </c>
      <c r="L59" t="s">
        <v>127</v>
      </c>
      <c r="M59">
        <f t="shared" si="0"/>
        <v>5528</v>
      </c>
    </row>
    <row r="60" spans="1:13" x14ac:dyDescent="0.3">
      <c r="A60">
        <v>1059</v>
      </c>
      <c r="B60" t="s">
        <v>113</v>
      </c>
      <c r="C60" t="s">
        <v>45</v>
      </c>
      <c r="D60" t="s">
        <v>27</v>
      </c>
      <c r="E60" t="s">
        <v>42</v>
      </c>
      <c r="F60">
        <v>10226</v>
      </c>
      <c r="G60">
        <v>5</v>
      </c>
      <c r="H60">
        <v>493</v>
      </c>
      <c r="I60">
        <v>2</v>
      </c>
      <c r="J60" t="s">
        <v>37</v>
      </c>
      <c r="K60" t="s">
        <v>32</v>
      </c>
      <c r="L60" t="s">
        <v>18</v>
      </c>
      <c r="M60">
        <f t="shared" si="0"/>
        <v>50637</v>
      </c>
    </row>
    <row r="61" spans="1:13" x14ac:dyDescent="0.3">
      <c r="A61">
        <v>1060</v>
      </c>
      <c r="B61" t="s">
        <v>128</v>
      </c>
      <c r="C61" t="s">
        <v>26</v>
      </c>
      <c r="D61" t="s">
        <v>27</v>
      </c>
      <c r="E61" t="s">
        <v>46</v>
      </c>
      <c r="F61">
        <v>11397</v>
      </c>
      <c r="G61">
        <v>4</v>
      </c>
      <c r="H61">
        <v>203</v>
      </c>
      <c r="I61">
        <v>3</v>
      </c>
      <c r="J61" t="s">
        <v>37</v>
      </c>
      <c r="K61" t="s">
        <v>32</v>
      </c>
      <c r="L61" t="s">
        <v>129</v>
      </c>
      <c r="M61">
        <f t="shared" si="0"/>
        <v>45385</v>
      </c>
    </row>
    <row r="62" spans="1:13" x14ac:dyDescent="0.3">
      <c r="A62">
        <v>1061</v>
      </c>
      <c r="B62" t="s">
        <v>73</v>
      </c>
      <c r="C62" t="s">
        <v>20</v>
      </c>
      <c r="D62" t="s">
        <v>27</v>
      </c>
      <c r="E62" t="s">
        <v>46</v>
      </c>
      <c r="F62">
        <v>13497</v>
      </c>
      <c r="G62">
        <v>1</v>
      </c>
      <c r="H62">
        <v>407</v>
      </c>
      <c r="I62">
        <v>2</v>
      </c>
      <c r="J62" t="s">
        <v>40</v>
      </c>
      <c r="K62" t="s">
        <v>17</v>
      </c>
      <c r="L62" t="s">
        <v>58</v>
      </c>
      <c r="M62">
        <f t="shared" si="0"/>
        <v>13090</v>
      </c>
    </row>
    <row r="63" spans="1:13" x14ac:dyDescent="0.3">
      <c r="A63">
        <v>1062</v>
      </c>
      <c r="B63" t="s">
        <v>130</v>
      </c>
      <c r="C63" t="s">
        <v>45</v>
      </c>
      <c r="D63" t="s">
        <v>27</v>
      </c>
      <c r="E63" t="s">
        <v>28</v>
      </c>
      <c r="F63">
        <v>14219</v>
      </c>
      <c r="G63">
        <v>4</v>
      </c>
      <c r="H63">
        <v>421</v>
      </c>
      <c r="I63">
        <v>5</v>
      </c>
      <c r="J63" t="s">
        <v>16</v>
      </c>
      <c r="K63" t="s">
        <v>32</v>
      </c>
      <c r="L63" t="s">
        <v>131</v>
      </c>
      <c r="M63">
        <f t="shared" si="0"/>
        <v>56455</v>
      </c>
    </row>
    <row r="64" spans="1:13" x14ac:dyDescent="0.3">
      <c r="A64">
        <v>1063</v>
      </c>
      <c r="B64" t="s">
        <v>86</v>
      </c>
      <c r="C64" t="s">
        <v>20</v>
      </c>
      <c r="D64" t="s">
        <v>35</v>
      </c>
      <c r="E64" t="s">
        <v>57</v>
      </c>
      <c r="F64">
        <v>12322</v>
      </c>
      <c r="G64">
        <v>5</v>
      </c>
      <c r="H64">
        <v>494</v>
      </c>
      <c r="I64">
        <v>4</v>
      </c>
      <c r="J64" t="s">
        <v>16</v>
      </c>
      <c r="K64" t="s">
        <v>23</v>
      </c>
      <c r="L64" t="s">
        <v>102</v>
      </c>
      <c r="M64">
        <f t="shared" si="0"/>
        <v>61116</v>
      </c>
    </row>
    <row r="65" spans="1:13" x14ac:dyDescent="0.3">
      <c r="A65">
        <v>1064</v>
      </c>
      <c r="B65" t="s">
        <v>103</v>
      </c>
      <c r="C65" t="s">
        <v>26</v>
      </c>
      <c r="D65" t="s">
        <v>27</v>
      </c>
      <c r="E65" t="s">
        <v>62</v>
      </c>
      <c r="F65">
        <v>14254</v>
      </c>
      <c r="G65">
        <v>2</v>
      </c>
      <c r="H65">
        <v>425</v>
      </c>
      <c r="I65">
        <v>2</v>
      </c>
      <c r="J65" t="s">
        <v>16</v>
      </c>
      <c r="K65" t="s">
        <v>32</v>
      </c>
      <c r="L65" t="s">
        <v>116</v>
      </c>
      <c r="M65">
        <f t="shared" si="0"/>
        <v>28083</v>
      </c>
    </row>
    <row r="66" spans="1:13" x14ac:dyDescent="0.3">
      <c r="A66">
        <v>1065</v>
      </c>
      <c r="B66" t="s">
        <v>104</v>
      </c>
      <c r="C66" t="s">
        <v>26</v>
      </c>
      <c r="D66" t="s">
        <v>35</v>
      </c>
      <c r="E66" t="s">
        <v>106</v>
      </c>
      <c r="F66">
        <v>770</v>
      </c>
      <c r="G66">
        <v>4</v>
      </c>
      <c r="H66">
        <v>435</v>
      </c>
      <c r="I66">
        <v>4</v>
      </c>
      <c r="J66" t="s">
        <v>40</v>
      </c>
      <c r="K66" t="s">
        <v>23</v>
      </c>
      <c r="L66" t="s">
        <v>132</v>
      </c>
      <c r="M66">
        <f t="shared" si="0"/>
        <v>2645</v>
      </c>
    </row>
    <row r="67" spans="1:13" x14ac:dyDescent="0.3">
      <c r="A67">
        <v>1066</v>
      </c>
      <c r="B67" t="s">
        <v>133</v>
      </c>
      <c r="C67" t="s">
        <v>13</v>
      </c>
      <c r="D67" t="s">
        <v>27</v>
      </c>
      <c r="E67" t="s">
        <v>46</v>
      </c>
      <c r="F67">
        <v>11788</v>
      </c>
      <c r="G67">
        <v>3</v>
      </c>
      <c r="H67">
        <v>284</v>
      </c>
      <c r="I67">
        <v>2</v>
      </c>
      <c r="J67" t="s">
        <v>22</v>
      </c>
      <c r="K67" t="s">
        <v>32</v>
      </c>
      <c r="L67" t="s">
        <v>134</v>
      </c>
      <c r="M67">
        <f t="shared" ref="M67:M130" si="1">(F67*G67)-H67</f>
        <v>35080</v>
      </c>
    </row>
    <row r="68" spans="1:13" x14ac:dyDescent="0.3">
      <c r="A68">
        <v>1067</v>
      </c>
      <c r="B68" t="s">
        <v>135</v>
      </c>
      <c r="C68" t="s">
        <v>20</v>
      </c>
      <c r="D68" t="s">
        <v>35</v>
      </c>
      <c r="E68" t="s">
        <v>65</v>
      </c>
      <c r="F68">
        <v>12721</v>
      </c>
      <c r="G68">
        <v>2</v>
      </c>
      <c r="H68">
        <v>353</v>
      </c>
      <c r="I68">
        <v>5</v>
      </c>
      <c r="J68" t="s">
        <v>37</v>
      </c>
      <c r="K68" t="s">
        <v>17</v>
      </c>
      <c r="L68" t="s">
        <v>55</v>
      </c>
      <c r="M68">
        <f t="shared" si="1"/>
        <v>25089</v>
      </c>
    </row>
    <row r="69" spans="1:13" x14ac:dyDescent="0.3">
      <c r="A69">
        <v>1068</v>
      </c>
      <c r="B69" t="s">
        <v>136</v>
      </c>
      <c r="C69" t="s">
        <v>45</v>
      </c>
      <c r="D69" t="s">
        <v>49</v>
      </c>
      <c r="E69" t="s">
        <v>137</v>
      </c>
      <c r="F69">
        <v>11634</v>
      </c>
      <c r="G69">
        <v>2</v>
      </c>
      <c r="H69">
        <v>156</v>
      </c>
      <c r="I69">
        <v>4</v>
      </c>
      <c r="J69" t="s">
        <v>16</v>
      </c>
      <c r="K69" t="s">
        <v>32</v>
      </c>
      <c r="L69" t="s">
        <v>68</v>
      </c>
      <c r="M69">
        <f t="shared" si="1"/>
        <v>23112</v>
      </c>
    </row>
    <row r="70" spans="1:13" x14ac:dyDescent="0.3">
      <c r="A70">
        <v>1069</v>
      </c>
      <c r="B70" t="s">
        <v>138</v>
      </c>
      <c r="C70" t="s">
        <v>13</v>
      </c>
      <c r="D70" t="s">
        <v>27</v>
      </c>
      <c r="E70" t="s">
        <v>62</v>
      </c>
      <c r="F70">
        <v>11815</v>
      </c>
      <c r="G70">
        <v>4</v>
      </c>
      <c r="H70">
        <v>138</v>
      </c>
      <c r="I70">
        <v>4</v>
      </c>
      <c r="J70" t="s">
        <v>22</v>
      </c>
      <c r="K70" t="s">
        <v>23</v>
      </c>
      <c r="L70" t="s">
        <v>33</v>
      </c>
      <c r="M70">
        <f t="shared" si="1"/>
        <v>47122</v>
      </c>
    </row>
    <row r="71" spans="1:13" x14ac:dyDescent="0.3">
      <c r="A71">
        <v>1070</v>
      </c>
      <c r="B71" t="s">
        <v>130</v>
      </c>
      <c r="C71" t="s">
        <v>45</v>
      </c>
      <c r="D71" t="s">
        <v>49</v>
      </c>
      <c r="E71" t="s">
        <v>59</v>
      </c>
      <c r="F71">
        <v>3845</v>
      </c>
      <c r="G71">
        <v>4</v>
      </c>
      <c r="H71">
        <v>141</v>
      </c>
      <c r="I71">
        <v>4</v>
      </c>
      <c r="J71" t="s">
        <v>22</v>
      </c>
      <c r="K71" t="s">
        <v>23</v>
      </c>
      <c r="L71" t="s">
        <v>139</v>
      </c>
      <c r="M71">
        <f t="shared" si="1"/>
        <v>15239</v>
      </c>
    </row>
    <row r="72" spans="1:13" x14ac:dyDescent="0.3">
      <c r="A72">
        <v>1071</v>
      </c>
      <c r="B72" t="s">
        <v>140</v>
      </c>
      <c r="C72" t="s">
        <v>45</v>
      </c>
      <c r="D72" t="s">
        <v>27</v>
      </c>
      <c r="E72" t="s">
        <v>28</v>
      </c>
      <c r="F72">
        <v>11900</v>
      </c>
      <c r="G72">
        <v>5</v>
      </c>
      <c r="H72">
        <v>64</v>
      </c>
      <c r="I72">
        <v>4</v>
      </c>
      <c r="J72" t="s">
        <v>22</v>
      </c>
      <c r="K72" t="s">
        <v>32</v>
      </c>
      <c r="L72" t="s">
        <v>141</v>
      </c>
      <c r="M72">
        <f t="shared" si="1"/>
        <v>59436</v>
      </c>
    </row>
    <row r="73" spans="1:13" x14ac:dyDescent="0.3">
      <c r="A73">
        <v>1072</v>
      </c>
      <c r="B73" t="s">
        <v>136</v>
      </c>
      <c r="C73" t="s">
        <v>20</v>
      </c>
      <c r="D73" t="s">
        <v>35</v>
      </c>
      <c r="E73" t="s">
        <v>36</v>
      </c>
      <c r="F73">
        <v>14598</v>
      </c>
      <c r="G73">
        <v>1</v>
      </c>
      <c r="H73">
        <v>293</v>
      </c>
      <c r="I73">
        <v>4</v>
      </c>
      <c r="J73" t="s">
        <v>40</v>
      </c>
      <c r="K73" t="s">
        <v>17</v>
      </c>
      <c r="L73" t="s">
        <v>74</v>
      </c>
      <c r="M73">
        <f t="shared" si="1"/>
        <v>14305</v>
      </c>
    </row>
    <row r="74" spans="1:13" x14ac:dyDescent="0.3">
      <c r="A74">
        <v>1073</v>
      </c>
      <c r="B74" t="s">
        <v>128</v>
      </c>
      <c r="C74" t="s">
        <v>13</v>
      </c>
      <c r="D74" t="s">
        <v>27</v>
      </c>
      <c r="E74" t="s">
        <v>67</v>
      </c>
      <c r="F74">
        <v>2169</v>
      </c>
      <c r="G74">
        <v>1</v>
      </c>
      <c r="H74">
        <v>205</v>
      </c>
      <c r="I74">
        <v>5</v>
      </c>
      <c r="J74" t="s">
        <v>22</v>
      </c>
      <c r="K74" t="s">
        <v>17</v>
      </c>
      <c r="L74" t="s">
        <v>72</v>
      </c>
      <c r="M74">
        <f t="shared" si="1"/>
        <v>1964</v>
      </c>
    </row>
    <row r="75" spans="1:13" x14ac:dyDescent="0.3">
      <c r="A75">
        <v>1074</v>
      </c>
      <c r="B75" t="s">
        <v>30</v>
      </c>
      <c r="C75" t="s">
        <v>26</v>
      </c>
      <c r="D75" t="s">
        <v>27</v>
      </c>
      <c r="E75" t="s">
        <v>28</v>
      </c>
      <c r="F75">
        <v>4366</v>
      </c>
      <c r="G75">
        <v>1</v>
      </c>
      <c r="H75">
        <v>285</v>
      </c>
      <c r="I75">
        <v>5</v>
      </c>
      <c r="J75" t="s">
        <v>16</v>
      </c>
      <c r="K75" t="s">
        <v>23</v>
      </c>
      <c r="L75" t="s">
        <v>142</v>
      </c>
      <c r="M75">
        <f t="shared" si="1"/>
        <v>4081</v>
      </c>
    </row>
    <row r="76" spans="1:13" x14ac:dyDescent="0.3">
      <c r="A76">
        <v>1075</v>
      </c>
      <c r="B76" t="s">
        <v>34</v>
      </c>
      <c r="C76" t="s">
        <v>13</v>
      </c>
      <c r="D76" t="s">
        <v>35</v>
      </c>
      <c r="E76" t="s">
        <v>106</v>
      </c>
      <c r="F76">
        <v>14392</v>
      </c>
      <c r="G76">
        <v>5</v>
      </c>
      <c r="H76">
        <v>219</v>
      </c>
      <c r="I76">
        <v>4</v>
      </c>
      <c r="J76" t="s">
        <v>37</v>
      </c>
      <c r="K76" t="s">
        <v>17</v>
      </c>
      <c r="L76" t="s">
        <v>143</v>
      </c>
      <c r="M76">
        <f t="shared" si="1"/>
        <v>71741</v>
      </c>
    </row>
    <row r="77" spans="1:13" x14ac:dyDescent="0.3">
      <c r="A77">
        <v>1076</v>
      </c>
      <c r="B77" t="s">
        <v>104</v>
      </c>
      <c r="C77" t="s">
        <v>13</v>
      </c>
      <c r="D77" t="s">
        <v>49</v>
      </c>
      <c r="E77" t="s">
        <v>71</v>
      </c>
      <c r="F77">
        <v>11120</v>
      </c>
      <c r="G77">
        <v>1</v>
      </c>
      <c r="H77">
        <v>80</v>
      </c>
      <c r="I77">
        <v>3</v>
      </c>
      <c r="J77" t="s">
        <v>22</v>
      </c>
      <c r="K77" t="s">
        <v>17</v>
      </c>
      <c r="L77" t="s">
        <v>134</v>
      </c>
      <c r="M77">
        <f t="shared" si="1"/>
        <v>11040</v>
      </c>
    </row>
    <row r="78" spans="1:13" x14ac:dyDescent="0.3">
      <c r="A78">
        <v>1077</v>
      </c>
      <c r="B78" t="s">
        <v>81</v>
      </c>
      <c r="C78" t="s">
        <v>20</v>
      </c>
      <c r="D78" t="s">
        <v>35</v>
      </c>
      <c r="E78" t="s">
        <v>65</v>
      </c>
      <c r="F78">
        <v>7999</v>
      </c>
      <c r="G78">
        <v>3</v>
      </c>
      <c r="H78">
        <v>16</v>
      </c>
      <c r="I78">
        <v>3</v>
      </c>
      <c r="J78" t="s">
        <v>37</v>
      </c>
      <c r="K78" t="s">
        <v>32</v>
      </c>
      <c r="L78" t="s">
        <v>38</v>
      </c>
      <c r="M78">
        <f t="shared" si="1"/>
        <v>23981</v>
      </c>
    </row>
    <row r="79" spans="1:13" x14ac:dyDescent="0.3">
      <c r="A79">
        <v>1078</v>
      </c>
      <c r="B79" t="s">
        <v>121</v>
      </c>
      <c r="C79" t="s">
        <v>26</v>
      </c>
      <c r="D79" t="s">
        <v>27</v>
      </c>
      <c r="E79" t="s">
        <v>46</v>
      </c>
      <c r="F79">
        <v>11132</v>
      </c>
      <c r="G79">
        <v>2</v>
      </c>
      <c r="H79">
        <v>217</v>
      </c>
      <c r="I79">
        <v>2</v>
      </c>
      <c r="J79" t="s">
        <v>40</v>
      </c>
      <c r="K79" t="s">
        <v>17</v>
      </c>
      <c r="L79" t="s">
        <v>144</v>
      </c>
      <c r="M79">
        <f t="shared" si="1"/>
        <v>22047</v>
      </c>
    </row>
    <row r="80" spans="1:13" x14ac:dyDescent="0.3">
      <c r="A80">
        <v>1079</v>
      </c>
      <c r="B80" t="s">
        <v>77</v>
      </c>
      <c r="C80" t="s">
        <v>20</v>
      </c>
      <c r="D80" t="s">
        <v>14</v>
      </c>
      <c r="E80" t="s">
        <v>21</v>
      </c>
      <c r="F80">
        <v>13286</v>
      </c>
      <c r="G80">
        <v>3</v>
      </c>
      <c r="H80">
        <v>304</v>
      </c>
      <c r="I80">
        <v>4</v>
      </c>
      <c r="J80" t="s">
        <v>40</v>
      </c>
      <c r="K80" t="s">
        <v>32</v>
      </c>
      <c r="L80" t="s">
        <v>112</v>
      </c>
      <c r="M80">
        <f t="shared" si="1"/>
        <v>39554</v>
      </c>
    </row>
    <row r="81" spans="1:13" x14ac:dyDescent="0.3">
      <c r="A81">
        <v>1080</v>
      </c>
      <c r="B81" t="s">
        <v>30</v>
      </c>
      <c r="C81" t="s">
        <v>20</v>
      </c>
      <c r="D81" t="s">
        <v>27</v>
      </c>
      <c r="E81" t="s">
        <v>46</v>
      </c>
      <c r="F81">
        <v>9147</v>
      </c>
      <c r="G81">
        <v>4</v>
      </c>
      <c r="H81">
        <v>224</v>
      </c>
      <c r="I81">
        <v>2</v>
      </c>
      <c r="J81" t="s">
        <v>40</v>
      </c>
      <c r="K81" t="s">
        <v>32</v>
      </c>
      <c r="L81" t="s">
        <v>127</v>
      </c>
      <c r="M81">
        <f t="shared" si="1"/>
        <v>36364</v>
      </c>
    </row>
    <row r="82" spans="1:13" x14ac:dyDescent="0.3">
      <c r="A82">
        <v>1081</v>
      </c>
      <c r="B82" t="s">
        <v>145</v>
      </c>
      <c r="C82" t="s">
        <v>13</v>
      </c>
      <c r="D82" t="s">
        <v>14</v>
      </c>
      <c r="E82" t="s">
        <v>15</v>
      </c>
      <c r="F82">
        <v>4050</v>
      </c>
      <c r="G82">
        <v>5</v>
      </c>
      <c r="H82">
        <v>300</v>
      </c>
      <c r="I82">
        <v>2</v>
      </c>
      <c r="J82" t="s">
        <v>22</v>
      </c>
      <c r="K82" t="s">
        <v>23</v>
      </c>
      <c r="L82" t="s">
        <v>114</v>
      </c>
      <c r="M82">
        <f t="shared" si="1"/>
        <v>19950</v>
      </c>
    </row>
    <row r="83" spans="1:13" x14ac:dyDescent="0.3">
      <c r="A83">
        <v>1082</v>
      </c>
      <c r="B83" t="s">
        <v>61</v>
      </c>
      <c r="C83" t="s">
        <v>45</v>
      </c>
      <c r="D83" t="s">
        <v>35</v>
      </c>
      <c r="E83" t="s">
        <v>106</v>
      </c>
      <c r="F83">
        <v>3273</v>
      </c>
      <c r="G83">
        <v>5</v>
      </c>
      <c r="H83">
        <v>223</v>
      </c>
      <c r="I83">
        <v>5</v>
      </c>
      <c r="J83" t="s">
        <v>16</v>
      </c>
      <c r="K83" t="s">
        <v>23</v>
      </c>
      <c r="L83" t="s">
        <v>146</v>
      </c>
      <c r="M83">
        <f t="shared" si="1"/>
        <v>16142</v>
      </c>
    </row>
    <row r="84" spans="1:13" x14ac:dyDescent="0.3">
      <c r="A84">
        <v>1083</v>
      </c>
      <c r="B84" t="s">
        <v>81</v>
      </c>
      <c r="C84" t="s">
        <v>13</v>
      </c>
      <c r="D84" t="s">
        <v>14</v>
      </c>
      <c r="E84" t="s">
        <v>21</v>
      </c>
      <c r="F84">
        <v>5703</v>
      </c>
      <c r="G84">
        <v>4</v>
      </c>
      <c r="H84">
        <v>355</v>
      </c>
      <c r="I84">
        <v>5</v>
      </c>
      <c r="J84" t="s">
        <v>16</v>
      </c>
      <c r="K84" t="s">
        <v>17</v>
      </c>
      <c r="L84" t="s">
        <v>107</v>
      </c>
      <c r="M84">
        <f t="shared" si="1"/>
        <v>22457</v>
      </c>
    </row>
    <row r="85" spans="1:13" x14ac:dyDescent="0.3">
      <c r="A85">
        <v>1084</v>
      </c>
      <c r="B85" t="s">
        <v>90</v>
      </c>
      <c r="C85" t="s">
        <v>20</v>
      </c>
      <c r="D85" t="s">
        <v>27</v>
      </c>
      <c r="E85" t="s">
        <v>62</v>
      </c>
      <c r="F85">
        <v>2199</v>
      </c>
      <c r="G85">
        <v>4</v>
      </c>
      <c r="H85">
        <v>442</v>
      </c>
      <c r="I85">
        <v>2</v>
      </c>
      <c r="J85" t="s">
        <v>16</v>
      </c>
      <c r="K85" t="s">
        <v>17</v>
      </c>
      <c r="L85" t="s">
        <v>147</v>
      </c>
      <c r="M85">
        <f t="shared" si="1"/>
        <v>8354</v>
      </c>
    </row>
    <row r="86" spans="1:13" x14ac:dyDescent="0.3">
      <c r="A86">
        <v>1085</v>
      </c>
      <c r="B86" t="s">
        <v>145</v>
      </c>
      <c r="C86" t="s">
        <v>26</v>
      </c>
      <c r="D86" t="s">
        <v>27</v>
      </c>
      <c r="E86" t="s">
        <v>46</v>
      </c>
      <c r="F86">
        <v>12693</v>
      </c>
      <c r="G86">
        <v>4</v>
      </c>
      <c r="H86">
        <v>320</v>
      </c>
      <c r="I86">
        <v>5</v>
      </c>
      <c r="J86" t="s">
        <v>40</v>
      </c>
      <c r="K86" t="s">
        <v>32</v>
      </c>
      <c r="L86" t="s">
        <v>85</v>
      </c>
      <c r="M86">
        <f t="shared" si="1"/>
        <v>50452</v>
      </c>
    </row>
    <row r="87" spans="1:13" x14ac:dyDescent="0.3">
      <c r="A87">
        <v>1086</v>
      </c>
      <c r="B87" t="s">
        <v>111</v>
      </c>
      <c r="C87" t="s">
        <v>26</v>
      </c>
      <c r="D87" t="s">
        <v>27</v>
      </c>
      <c r="E87" t="s">
        <v>67</v>
      </c>
      <c r="F87">
        <v>14731</v>
      </c>
      <c r="G87">
        <v>4</v>
      </c>
      <c r="H87">
        <v>62</v>
      </c>
      <c r="I87">
        <v>2</v>
      </c>
      <c r="J87" t="s">
        <v>22</v>
      </c>
      <c r="K87" t="s">
        <v>23</v>
      </c>
      <c r="L87" t="s">
        <v>68</v>
      </c>
      <c r="M87">
        <f t="shared" si="1"/>
        <v>58862</v>
      </c>
    </row>
    <row r="88" spans="1:13" x14ac:dyDescent="0.3">
      <c r="A88">
        <v>1087</v>
      </c>
      <c r="B88" t="s">
        <v>115</v>
      </c>
      <c r="C88" t="s">
        <v>26</v>
      </c>
      <c r="D88" t="s">
        <v>14</v>
      </c>
      <c r="E88" t="s">
        <v>126</v>
      </c>
      <c r="F88">
        <v>6984</v>
      </c>
      <c r="G88">
        <v>1</v>
      </c>
      <c r="H88">
        <v>115</v>
      </c>
      <c r="I88">
        <v>2</v>
      </c>
      <c r="J88" t="s">
        <v>16</v>
      </c>
      <c r="K88" t="s">
        <v>32</v>
      </c>
      <c r="L88" t="s">
        <v>55</v>
      </c>
      <c r="M88">
        <f t="shared" si="1"/>
        <v>6869</v>
      </c>
    </row>
    <row r="89" spans="1:13" x14ac:dyDescent="0.3">
      <c r="A89">
        <v>1088</v>
      </c>
      <c r="B89" t="s">
        <v>115</v>
      </c>
      <c r="C89" t="s">
        <v>26</v>
      </c>
      <c r="D89" t="s">
        <v>27</v>
      </c>
      <c r="E89" t="s">
        <v>67</v>
      </c>
      <c r="F89">
        <v>13976</v>
      </c>
      <c r="G89">
        <v>4</v>
      </c>
      <c r="H89">
        <v>241</v>
      </c>
      <c r="I89">
        <v>3</v>
      </c>
      <c r="J89" t="s">
        <v>16</v>
      </c>
      <c r="K89" t="s">
        <v>17</v>
      </c>
      <c r="L89" t="s">
        <v>148</v>
      </c>
      <c r="M89">
        <f t="shared" si="1"/>
        <v>55663</v>
      </c>
    </row>
    <row r="90" spans="1:13" x14ac:dyDescent="0.3">
      <c r="A90">
        <v>1089</v>
      </c>
      <c r="B90" t="s">
        <v>149</v>
      </c>
      <c r="C90" t="s">
        <v>45</v>
      </c>
      <c r="D90" t="s">
        <v>49</v>
      </c>
      <c r="E90" t="s">
        <v>83</v>
      </c>
      <c r="F90">
        <v>4826</v>
      </c>
      <c r="G90">
        <v>4</v>
      </c>
      <c r="H90">
        <v>174</v>
      </c>
      <c r="I90">
        <v>4</v>
      </c>
      <c r="J90" t="s">
        <v>16</v>
      </c>
      <c r="K90" t="s">
        <v>17</v>
      </c>
      <c r="L90" t="s">
        <v>150</v>
      </c>
      <c r="M90">
        <f t="shared" si="1"/>
        <v>19130</v>
      </c>
    </row>
    <row r="91" spans="1:13" x14ac:dyDescent="0.3">
      <c r="A91">
        <v>1090</v>
      </c>
      <c r="B91" t="s">
        <v>115</v>
      </c>
      <c r="C91" t="s">
        <v>26</v>
      </c>
      <c r="D91" t="s">
        <v>35</v>
      </c>
      <c r="E91" t="s">
        <v>106</v>
      </c>
      <c r="F91">
        <v>5746</v>
      </c>
      <c r="G91">
        <v>5</v>
      </c>
      <c r="H91">
        <v>390</v>
      </c>
      <c r="I91">
        <v>5</v>
      </c>
      <c r="J91" t="s">
        <v>22</v>
      </c>
      <c r="K91" t="s">
        <v>32</v>
      </c>
      <c r="L91" t="s">
        <v>151</v>
      </c>
      <c r="M91">
        <f t="shared" si="1"/>
        <v>28340</v>
      </c>
    </row>
    <row r="92" spans="1:13" x14ac:dyDescent="0.3">
      <c r="A92">
        <v>1091</v>
      </c>
      <c r="B92" t="s">
        <v>118</v>
      </c>
      <c r="C92" t="s">
        <v>20</v>
      </c>
      <c r="D92" t="s">
        <v>49</v>
      </c>
      <c r="E92" t="s">
        <v>137</v>
      </c>
      <c r="F92">
        <v>1015</v>
      </c>
      <c r="G92">
        <v>3</v>
      </c>
      <c r="H92">
        <v>381</v>
      </c>
      <c r="I92">
        <v>5</v>
      </c>
      <c r="J92" t="s">
        <v>22</v>
      </c>
      <c r="K92" t="s">
        <v>23</v>
      </c>
      <c r="L92" t="s">
        <v>152</v>
      </c>
      <c r="M92">
        <f t="shared" si="1"/>
        <v>2664</v>
      </c>
    </row>
    <row r="93" spans="1:13" x14ac:dyDescent="0.3">
      <c r="A93">
        <v>1092</v>
      </c>
      <c r="B93" t="s">
        <v>77</v>
      </c>
      <c r="C93" t="s">
        <v>20</v>
      </c>
      <c r="D93" t="s">
        <v>49</v>
      </c>
      <c r="E93" t="s">
        <v>50</v>
      </c>
      <c r="F93">
        <v>9969</v>
      </c>
      <c r="G93">
        <v>3</v>
      </c>
      <c r="H93">
        <v>445</v>
      </c>
      <c r="I93">
        <v>2</v>
      </c>
      <c r="J93" t="s">
        <v>37</v>
      </c>
      <c r="K93" t="s">
        <v>32</v>
      </c>
      <c r="L93" t="s">
        <v>153</v>
      </c>
      <c r="M93">
        <f t="shared" si="1"/>
        <v>29462</v>
      </c>
    </row>
    <row r="94" spans="1:13" x14ac:dyDescent="0.3">
      <c r="A94">
        <v>1093</v>
      </c>
      <c r="B94" t="s">
        <v>25</v>
      </c>
      <c r="C94" t="s">
        <v>20</v>
      </c>
      <c r="D94" t="s">
        <v>35</v>
      </c>
      <c r="E94" t="s">
        <v>57</v>
      </c>
      <c r="F94">
        <v>1525</v>
      </c>
      <c r="G94">
        <v>4</v>
      </c>
      <c r="H94">
        <v>400</v>
      </c>
      <c r="I94">
        <v>4</v>
      </c>
      <c r="J94" t="s">
        <v>37</v>
      </c>
      <c r="K94" t="s">
        <v>23</v>
      </c>
      <c r="L94" t="s">
        <v>154</v>
      </c>
      <c r="M94">
        <f t="shared" si="1"/>
        <v>5700</v>
      </c>
    </row>
    <row r="95" spans="1:13" x14ac:dyDescent="0.3">
      <c r="A95">
        <v>1094</v>
      </c>
      <c r="B95" t="s">
        <v>86</v>
      </c>
      <c r="C95" t="s">
        <v>26</v>
      </c>
      <c r="D95" t="s">
        <v>35</v>
      </c>
      <c r="E95" t="s">
        <v>106</v>
      </c>
      <c r="F95">
        <v>10569</v>
      </c>
      <c r="G95">
        <v>4</v>
      </c>
      <c r="H95">
        <v>446</v>
      </c>
      <c r="I95">
        <v>2</v>
      </c>
      <c r="J95" t="s">
        <v>40</v>
      </c>
      <c r="K95" t="s">
        <v>17</v>
      </c>
      <c r="L95" t="s">
        <v>155</v>
      </c>
      <c r="M95">
        <f t="shared" si="1"/>
        <v>41830</v>
      </c>
    </row>
    <row r="96" spans="1:13" x14ac:dyDescent="0.3">
      <c r="A96">
        <v>1095</v>
      </c>
      <c r="B96" t="s">
        <v>156</v>
      </c>
      <c r="C96" t="s">
        <v>13</v>
      </c>
      <c r="D96" t="s">
        <v>14</v>
      </c>
      <c r="E96" t="s">
        <v>31</v>
      </c>
      <c r="F96">
        <v>1912</v>
      </c>
      <c r="G96">
        <v>1</v>
      </c>
      <c r="H96">
        <v>227</v>
      </c>
      <c r="I96">
        <v>3</v>
      </c>
      <c r="J96" t="s">
        <v>37</v>
      </c>
      <c r="K96" t="s">
        <v>23</v>
      </c>
      <c r="L96" t="s">
        <v>157</v>
      </c>
      <c r="M96">
        <f t="shared" si="1"/>
        <v>1685</v>
      </c>
    </row>
    <row r="97" spans="1:13" x14ac:dyDescent="0.3">
      <c r="A97">
        <v>1096</v>
      </c>
      <c r="B97" t="s">
        <v>75</v>
      </c>
      <c r="C97" t="s">
        <v>20</v>
      </c>
      <c r="D97" t="s">
        <v>14</v>
      </c>
      <c r="E97" t="s">
        <v>99</v>
      </c>
      <c r="F97">
        <v>6173</v>
      </c>
      <c r="G97">
        <v>3</v>
      </c>
      <c r="H97">
        <v>220</v>
      </c>
      <c r="I97">
        <v>3</v>
      </c>
      <c r="J97" t="s">
        <v>22</v>
      </c>
      <c r="K97" t="s">
        <v>17</v>
      </c>
      <c r="L97" t="s">
        <v>139</v>
      </c>
      <c r="M97">
        <f t="shared" si="1"/>
        <v>18299</v>
      </c>
    </row>
    <row r="98" spans="1:13" x14ac:dyDescent="0.3">
      <c r="A98">
        <v>1097</v>
      </c>
      <c r="B98" t="s">
        <v>79</v>
      </c>
      <c r="C98" t="s">
        <v>26</v>
      </c>
      <c r="D98" t="s">
        <v>14</v>
      </c>
      <c r="E98" t="s">
        <v>126</v>
      </c>
      <c r="F98">
        <v>14567</v>
      </c>
      <c r="G98">
        <v>4</v>
      </c>
      <c r="H98">
        <v>317</v>
      </c>
      <c r="I98">
        <v>3</v>
      </c>
      <c r="J98" t="s">
        <v>22</v>
      </c>
      <c r="K98" t="s">
        <v>23</v>
      </c>
      <c r="L98" t="s">
        <v>93</v>
      </c>
      <c r="M98">
        <f t="shared" si="1"/>
        <v>57951</v>
      </c>
    </row>
    <row r="99" spans="1:13" x14ac:dyDescent="0.3">
      <c r="A99">
        <v>1098</v>
      </c>
      <c r="B99" t="s">
        <v>81</v>
      </c>
      <c r="C99" t="s">
        <v>26</v>
      </c>
      <c r="D99" t="s">
        <v>27</v>
      </c>
      <c r="E99" t="s">
        <v>67</v>
      </c>
      <c r="F99">
        <v>4483</v>
      </c>
      <c r="G99">
        <v>1</v>
      </c>
      <c r="H99">
        <v>460</v>
      </c>
      <c r="I99">
        <v>5</v>
      </c>
      <c r="J99" t="s">
        <v>37</v>
      </c>
      <c r="K99" t="s">
        <v>23</v>
      </c>
      <c r="L99" t="s">
        <v>96</v>
      </c>
      <c r="M99">
        <f t="shared" si="1"/>
        <v>4023</v>
      </c>
    </row>
    <row r="100" spans="1:13" x14ac:dyDescent="0.3">
      <c r="A100">
        <v>1099</v>
      </c>
      <c r="B100" t="s">
        <v>115</v>
      </c>
      <c r="C100" t="s">
        <v>26</v>
      </c>
      <c r="D100" t="s">
        <v>27</v>
      </c>
      <c r="E100" t="s">
        <v>46</v>
      </c>
      <c r="F100">
        <v>5201</v>
      </c>
      <c r="G100">
        <v>4</v>
      </c>
      <c r="H100">
        <v>353</v>
      </c>
      <c r="I100">
        <v>4</v>
      </c>
      <c r="J100" t="s">
        <v>16</v>
      </c>
      <c r="K100" t="s">
        <v>23</v>
      </c>
      <c r="L100" t="s">
        <v>29</v>
      </c>
      <c r="M100">
        <f t="shared" si="1"/>
        <v>20451</v>
      </c>
    </row>
    <row r="101" spans="1:13" x14ac:dyDescent="0.3">
      <c r="A101">
        <v>1100</v>
      </c>
      <c r="B101" t="s">
        <v>156</v>
      </c>
      <c r="C101" t="s">
        <v>13</v>
      </c>
      <c r="D101" t="s">
        <v>49</v>
      </c>
      <c r="E101" t="s">
        <v>137</v>
      </c>
      <c r="F101">
        <v>9670</v>
      </c>
      <c r="G101">
        <v>3</v>
      </c>
      <c r="H101">
        <v>294</v>
      </c>
      <c r="I101">
        <v>4</v>
      </c>
      <c r="J101" t="s">
        <v>16</v>
      </c>
      <c r="K101" t="s">
        <v>23</v>
      </c>
      <c r="L101" t="s">
        <v>158</v>
      </c>
      <c r="M101">
        <f t="shared" si="1"/>
        <v>28716</v>
      </c>
    </row>
    <row r="102" spans="1:13" x14ac:dyDescent="0.3">
      <c r="A102">
        <v>1101</v>
      </c>
      <c r="B102" t="s">
        <v>113</v>
      </c>
      <c r="C102" t="s">
        <v>45</v>
      </c>
      <c r="D102" t="s">
        <v>14</v>
      </c>
      <c r="E102" t="s">
        <v>126</v>
      </c>
      <c r="F102">
        <v>12508</v>
      </c>
      <c r="G102">
        <v>4</v>
      </c>
      <c r="H102">
        <v>426</v>
      </c>
      <c r="I102">
        <v>4</v>
      </c>
      <c r="J102" t="s">
        <v>22</v>
      </c>
      <c r="K102" t="s">
        <v>32</v>
      </c>
      <c r="L102" t="s">
        <v>147</v>
      </c>
      <c r="M102">
        <f t="shared" si="1"/>
        <v>49606</v>
      </c>
    </row>
    <row r="103" spans="1:13" x14ac:dyDescent="0.3">
      <c r="A103">
        <v>1102</v>
      </c>
      <c r="B103" t="s">
        <v>159</v>
      </c>
      <c r="C103" t="s">
        <v>13</v>
      </c>
      <c r="D103" t="s">
        <v>27</v>
      </c>
      <c r="E103" t="s">
        <v>42</v>
      </c>
      <c r="F103">
        <v>10593</v>
      </c>
      <c r="G103">
        <v>1</v>
      </c>
      <c r="H103">
        <v>462</v>
      </c>
      <c r="I103">
        <v>2</v>
      </c>
      <c r="J103" t="s">
        <v>40</v>
      </c>
      <c r="K103" t="s">
        <v>32</v>
      </c>
      <c r="L103" t="s">
        <v>85</v>
      </c>
      <c r="M103">
        <f t="shared" si="1"/>
        <v>10131</v>
      </c>
    </row>
    <row r="104" spans="1:13" x14ac:dyDescent="0.3">
      <c r="A104">
        <v>1103</v>
      </c>
      <c r="B104" t="s">
        <v>12</v>
      </c>
      <c r="C104" t="s">
        <v>45</v>
      </c>
      <c r="D104" t="s">
        <v>14</v>
      </c>
      <c r="E104" t="s">
        <v>99</v>
      </c>
      <c r="F104">
        <v>5652</v>
      </c>
      <c r="G104">
        <v>4</v>
      </c>
      <c r="H104">
        <v>89</v>
      </c>
      <c r="I104">
        <v>3</v>
      </c>
      <c r="J104" t="s">
        <v>40</v>
      </c>
      <c r="K104" t="s">
        <v>17</v>
      </c>
      <c r="L104" t="s">
        <v>127</v>
      </c>
      <c r="M104">
        <f t="shared" si="1"/>
        <v>22519</v>
      </c>
    </row>
    <row r="105" spans="1:13" x14ac:dyDescent="0.3">
      <c r="A105">
        <v>1104</v>
      </c>
      <c r="B105" t="s">
        <v>115</v>
      </c>
      <c r="C105" t="s">
        <v>26</v>
      </c>
      <c r="D105" t="s">
        <v>35</v>
      </c>
      <c r="E105" t="s">
        <v>106</v>
      </c>
      <c r="F105">
        <v>12531</v>
      </c>
      <c r="G105">
        <v>3</v>
      </c>
      <c r="H105">
        <v>411</v>
      </c>
      <c r="I105">
        <v>2</v>
      </c>
      <c r="J105" t="s">
        <v>22</v>
      </c>
      <c r="K105" t="s">
        <v>32</v>
      </c>
      <c r="L105" t="s">
        <v>160</v>
      </c>
      <c r="M105">
        <f t="shared" si="1"/>
        <v>37182</v>
      </c>
    </row>
    <row r="106" spans="1:13" x14ac:dyDescent="0.3">
      <c r="A106">
        <v>1105</v>
      </c>
      <c r="B106" t="s">
        <v>149</v>
      </c>
      <c r="C106" t="s">
        <v>13</v>
      </c>
      <c r="D106" t="s">
        <v>35</v>
      </c>
      <c r="E106" t="s">
        <v>65</v>
      </c>
      <c r="F106">
        <v>6292</v>
      </c>
      <c r="G106">
        <v>1</v>
      </c>
      <c r="H106">
        <v>404</v>
      </c>
      <c r="I106">
        <v>5</v>
      </c>
      <c r="J106" t="s">
        <v>16</v>
      </c>
      <c r="K106" t="s">
        <v>23</v>
      </c>
      <c r="L106" t="s">
        <v>161</v>
      </c>
      <c r="M106">
        <f t="shared" si="1"/>
        <v>5888</v>
      </c>
    </row>
    <row r="107" spans="1:13" x14ac:dyDescent="0.3">
      <c r="A107">
        <v>1106</v>
      </c>
      <c r="B107" t="s">
        <v>136</v>
      </c>
      <c r="C107" t="s">
        <v>45</v>
      </c>
      <c r="D107" t="s">
        <v>27</v>
      </c>
      <c r="E107" t="s">
        <v>46</v>
      </c>
      <c r="F107">
        <v>6542</v>
      </c>
      <c r="G107">
        <v>3</v>
      </c>
      <c r="H107">
        <v>55</v>
      </c>
      <c r="I107">
        <v>3</v>
      </c>
      <c r="J107" t="s">
        <v>22</v>
      </c>
      <c r="K107" t="s">
        <v>32</v>
      </c>
      <c r="L107" t="s">
        <v>47</v>
      </c>
      <c r="M107">
        <f t="shared" si="1"/>
        <v>19571</v>
      </c>
    </row>
    <row r="108" spans="1:13" x14ac:dyDescent="0.3">
      <c r="A108">
        <v>1107</v>
      </c>
      <c r="B108" t="s">
        <v>140</v>
      </c>
      <c r="C108" t="s">
        <v>45</v>
      </c>
      <c r="D108" t="s">
        <v>35</v>
      </c>
      <c r="E108" t="s">
        <v>106</v>
      </c>
      <c r="F108">
        <v>10937</v>
      </c>
      <c r="G108">
        <v>4</v>
      </c>
      <c r="H108">
        <v>59</v>
      </c>
      <c r="I108">
        <v>3</v>
      </c>
      <c r="J108" t="s">
        <v>16</v>
      </c>
      <c r="K108" t="s">
        <v>17</v>
      </c>
      <c r="L108" t="s">
        <v>162</v>
      </c>
      <c r="M108">
        <f t="shared" si="1"/>
        <v>43689</v>
      </c>
    </row>
    <row r="109" spans="1:13" x14ac:dyDescent="0.3">
      <c r="A109">
        <v>1108</v>
      </c>
      <c r="B109" t="s">
        <v>90</v>
      </c>
      <c r="C109" t="s">
        <v>20</v>
      </c>
      <c r="D109" t="s">
        <v>49</v>
      </c>
      <c r="E109" t="s">
        <v>50</v>
      </c>
      <c r="F109">
        <v>2522</v>
      </c>
      <c r="G109">
        <v>4</v>
      </c>
      <c r="H109">
        <v>232</v>
      </c>
      <c r="I109">
        <v>4</v>
      </c>
      <c r="J109" t="s">
        <v>22</v>
      </c>
      <c r="K109" t="s">
        <v>23</v>
      </c>
      <c r="L109" t="s">
        <v>163</v>
      </c>
      <c r="M109">
        <f t="shared" si="1"/>
        <v>9856</v>
      </c>
    </row>
    <row r="110" spans="1:13" x14ac:dyDescent="0.3">
      <c r="A110">
        <v>1109</v>
      </c>
      <c r="B110" t="s">
        <v>140</v>
      </c>
      <c r="C110" t="s">
        <v>26</v>
      </c>
      <c r="D110" t="s">
        <v>14</v>
      </c>
      <c r="E110" t="s">
        <v>31</v>
      </c>
      <c r="F110">
        <v>10386</v>
      </c>
      <c r="G110">
        <v>4</v>
      </c>
      <c r="H110">
        <v>480</v>
      </c>
      <c r="I110">
        <v>4</v>
      </c>
      <c r="J110" t="s">
        <v>16</v>
      </c>
      <c r="K110" t="s">
        <v>23</v>
      </c>
      <c r="L110" t="s">
        <v>164</v>
      </c>
      <c r="M110">
        <f t="shared" si="1"/>
        <v>41064</v>
      </c>
    </row>
    <row r="111" spans="1:13" x14ac:dyDescent="0.3">
      <c r="A111">
        <v>1110</v>
      </c>
      <c r="B111" t="s">
        <v>82</v>
      </c>
      <c r="C111" t="s">
        <v>45</v>
      </c>
      <c r="D111" t="s">
        <v>27</v>
      </c>
      <c r="E111" t="s">
        <v>28</v>
      </c>
      <c r="F111">
        <v>11534</v>
      </c>
      <c r="G111">
        <v>3</v>
      </c>
      <c r="H111">
        <v>278</v>
      </c>
      <c r="I111">
        <v>4</v>
      </c>
      <c r="J111" t="s">
        <v>22</v>
      </c>
      <c r="K111" t="s">
        <v>17</v>
      </c>
      <c r="L111" t="s">
        <v>165</v>
      </c>
      <c r="M111">
        <f t="shared" si="1"/>
        <v>34324</v>
      </c>
    </row>
    <row r="112" spans="1:13" x14ac:dyDescent="0.3">
      <c r="A112">
        <v>1111</v>
      </c>
      <c r="B112" t="s">
        <v>82</v>
      </c>
      <c r="C112" t="s">
        <v>26</v>
      </c>
      <c r="D112" t="s">
        <v>35</v>
      </c>
      <c r="E112" t="s">
        <v>36</v>
      </c>
      <c r="F112">
        <v>11158</v>
      </c>
      <c r="G112">
        <v>2</v>
      </c>
      <c r="H112">
        <v>328</v>
      </c>
      <c r="I112">
        <v>2</v>
      </c>
      <c r="J112" t="s">
        <v>22</v>
      </c>
      <c r="K112" t="s">
        <v>32</v>
      </c>
      <c r="L112" t="s">
        <v>166</v>
      </c>
      <c r="M112">
        <f t="shared" si="1"/>
        <v>21988</v>
      </c>
    </row>
    <row r="113" spans="1:13" x14ac:dyDescent="0.3">
      <c r="A113">
        <v>1112</v>
      </c>
      <c r="B113" t="s">
        <v>25</v>
      </c>
      <c r="C113" t="s">
        <v>13</v>
      </c>
      <c r="D113" t="s">
        <v>14</v>
      </c>
      <c r="E113" t="s">
        <v>126</v>
      </c>
      <c r="F113">
        <v>3694</v>
      </c>
      <c r="G113">
        <v>5</v>
      </c>
      <c r="H113">
        <v>110</v>
      </c>
      <c r="I113">
        <v>3</v>
      </c>
      <c r="J113" t="s">
        <v>40</v>
      </c>
      <c r="K113" t="s">
        <v>17</v>
      </c>
      <c r="L113" t="s">
        <v>85</v>
      </c>
      <c r="M113">
        <f t="shared" si="1"/>
        <v>18360</v>
      </c>
    </row>
    <row r="114" spans="1:13" x14ac:dyDescent="0.3">
      <c r="A114">
        <v>1113</v>
      </c>
      <c r="B114" t="s">
        <v>73</v>
      </c>
      <c r="C114" t="s">
        <v>45</v>
      </c>
      <c r="D114" t="s">
        <v>27</v>
      </c>
      <c r="E114" t="s">
        <v>42</v>
      </c>
      <c r="F114">
        <v>2101</v>
      </c>
      <c r="G114">
        <v>1</v>
      </c>
      <c r="H114">
        <v>67</v>
      </c>
      <c r="I114">
        <v>2</v>
      </c>
      <c r="J114" t="s">
        <v>37</v>
      </c>
      <c r="K114" t="s">
        <v>17</v>
      </c>
      <c r="L114" t="s">
        <v>167</v>
      </c>
      <c r="M114">
        <f t="shared" si="1"/>
        <v>2034</v>
      </c>
    </row>
    <row r="115" spans="1:13" x14ac:dyDescent="0.3">
      <c r="A115">
        <v>1114</v>
      </c>
      <c r="B115" t="s">
        <v>100</v>
      </c>
      <c r="C115" t="s">
        <v>20</v>
      </c>
      <c r="D115" t="s">
        <v>14</v>
      </c>
      <c r="E115" t="s">
        <v>21</v>
      </c>
      <c r="F115">
        <v>12452</v>
      </c>
      <c r="G115">
        <v>4</v>
      </c>
      <c r="H115">
        <v>269</v>
      </c>
      <c r="I115">
        <v>2</v>
      </c>
      <c r="J115" t="s">
        <v>16</v>
      </c>
      <c r="K115" t="s">
        <v>23</v>
      </c>
      <c r="L115" t="s">
        <v>69</v>
      </c>
      <c r="M115">
        <f t="shared" si="1"/>
        <v>49539</v>
      </c>
    </row>
    <row r="116" spans="1:13" x14ac:dyDescent="0.3">
      <c r="A116">
        <v>1115</v>
      </c>
      <c r="B116" t="s">
        <v>70</v>
      </c>
      <c r="C116" t="s">
        <v>45</v>
      </c>
      <c r="D116" t="s">
        <v>14</v>
      </c>
      <c r="E116" t="s">
        <v>31</v>
      </c>
      <c r="F116">
        <v>8554</v>
      </c>
      <c r="G116">
        <v>2</v>
      </c>
      <c r="H116">
        <v>484</v>
      </c>
      <c r="I116">
        <v>2</v>
      </c>
      <c r="J116" t="s">
        <v>16</v>
      </c>
      <c r="K116" t="s">
        <v>32</v>
      </c>
      <c r="L116" t="s">
        <v>18</v>
      </c>
      <c r="M116">
        <f t="shared" si="1"/>
        <v>16624</v>
      </c>
    </row>
    <row r="117" spans="1:13" x14ac:dyDescent="0.3">
      <c r="A117">
        <v>1116</v>
      </c>
      <c r="B117" t="s">
        <v>79</v>
      </c>
      <c r="C117" t="s">
        <v>13</v>
      </c>
      <c r="D117" t="s">
        <v>14</v>
      </c>
      <c r="E117" t="s">
        <v>31</v>
      </c>
      <c r="F117">
        <v>14182</v>
      </c>
      <c r="G117">
        <v>4</v>
      </c>
      <c r="H117">
        <v>218</v>
      </c>
      <c r="I117">
        <v>2</v>
      </c>
      <c r="J117" t="s">
        <v>37</v>
      </c>
      <c r="K117" t="s">
        <v>23</v>
      </c>
      <c r="L117" t="s">
        <v>168</v>
      </c>
      <c r="M117">
        <f t="shared" si="1"/>
        <v>56510</v>
      </c>
    </row>
    <row r="118" spans="1:13" x14ac:dyDescent="0.3">
      <c r="A118">
        <v>1117</v>
      </c>
      <c r="B118" t="s">
        <v>39</v>
      </c>
      <c r="C118" t="s">
        <v>45</v>
      </c>
      <c r="D118" t="s">
        <v>49</v>
      </c>
      <c r="E118" t="s">
        <v>83</v>
      </c>
      <c r="F118">
        <v>2367</v>
      </c>
      <c r="G118">
        <v>3</v>
      </c>
      <c r="H118">
        <v>319</v>
      </c>
      <c r="I118">
        <v>4</v>
      </c>
      <c r="J118" t="s">
        <v>16</v>
      </c>
      <c r="K118" t="s">
        <v>32</v>
      </c>
      <c r="L118" t="s">
        <v>168</v>
      </c>
      <c r="M118">
        <f t="shared" si="1"/>
        <v>6782</v>
      </c>
    </row>
    <row r="119" spans="1:13" x14ac:dyDescent="0.3">
      <c r="A119">
        <v>1118</v>
      </c>
      <c r="B119" t="s">
        <v>97</v>
      </c>
      <c r="C119" t="s">
        <v>26</v>
      </c>
      <c r="D119" t="s">
        <v>35</v>
      </c>
      <c r="E119" t="s">
        <v>36</v>
      </c>
      <c r="F119">
        <v>13294</v>
      </c>
      <c r="G119">
        <v>1</v>
      </c>
      <c r="H119">
        <v>436</v>
      </c>
      <c r="I119">
        <v>3</v>
      </c>
      <c r="J119" t="s">
        <v>16</v>
      </c>
      <c r="K119" t="s">
        <v>23</v>
      </c>
      <c r="L119" t="s">
        <v>102</v>
      </c>
      <c r="M119">
        <f t="shared" si="1"/>
        <v>12858</v>
      </c>
    </row>
    <row r="120" spans="1:13" x14ac:dyDescent="0.3">
      <c r="A120">
        <v>1119</v>
      </c>
      <c r="B120" t="s">
        <v>108</v>
      </c>
      <c r="C120" t="s">
        <v>45</v>
      </c>
      <c r="D120" t="s">
        <v>35</v>
      </c>
      <c r="E120" t="s">
        <v>119</v>
      </c>
      <c r="F120">
        <v>7115</v>
      </c>
      <c r="G120">
        <v>1</v>
      </c>
      <c r="H120">
        <v>160</v>
      </c>
      <c r="I120">
        <v>5</v>
      </c>
      <c r="J120" t="s">
        <v>22</v>
      </c>
      <c r="K120" t="s">
        <v>32</v>
      </c>
      <c r="L120" t="s">
        <v>60</v>
      </c>
      <c r="M120">
        <f t="shared" si="1"/>
        <v>6955</v>
      </c>
    </row>
    <row r="121" spans="1:13" x14ac:dyDescent="0.3">
      <c r="A121">
        <v>1120</v>
      </c>
      <c r="B121" t="s">
        <v>130</v>
      </c>
      <c r="C121" t="s">
        <v>26</v>
      </c>
      <c r="D121" t="s">
        <v>35</v>
      </c>
      <c r="E121" t="s">
        <v>36</v>
      </c>
      <c r="F121">
        <v>1794</v>
      </c>
      <c r="G121">
        <v>1</v>
      </c>
      <c r="H121">
        <v>47</v>
      </c>
      <c r="I121">
        <v>5</v>
      </c>
      <c r="J121" t="s">
        <v>37</v>
      </c>
      <c r="K121" t="s">
        <v>32</v>
      </c>
      <c r="L121" t="s">
        <v>169</v>
      </c>
      <c r="M121">
        <f t="shared" si="1"/>
        <v>1747</v>
      </c>
    </row>
    <row r="122" spans="1:13" x14ac:dyDescent="0.3">
      <c r="A122">
        <v>1121</v>
      </c>
      <c r="B122" t="s">
        <v>70</v>
      </c>
      <c r="C122" t="s">
        <v>45</v>
      </c>
      <c r="D122" t="s">
        <v>27</v>
      </c>
      <c r="E122" t="s">
        <v>28</v>
      </c>
      <c r="F122">
        <v>7030</v>
      </c>
      <c r="G122">
        <v>3</v>
      </c>
      <c r="H122">
        <v>447</v>
      </c>
      <c r="I122">
        <v>5</v>
      </c>
      <c r="J122" t="s">
        <v>40</v>
      </c>
      <c r="K122" t="s">
        <v>23</v>
      </c>
      <c r="L122" t="s">
        <v>29</v>
      </c>
      <c r="M122">
        <f t="shared" si="1"/>
        <v>20643</v>
      </c>
    </row>
    <row r="123" spans="1:13" x14ac:dyDescent="0.3">
      <c r="A123">
        <v>1122</v>
      </c>
      <c r="B123" t="s">
        <v>73</v>
      </c>
      <c r="C123" t="s">
        <v>45</v>
      </c>
      <c r="D123" t="s">
        <v>49</v>
      </c>
      <c r="E123" t="s">
        <v>59</v>
      </c>
      <c r="F123">
        <v>11059</v>
      </c>
      <c r="G123">
        <v>4</v>
      </c>
      <c r="H123">
        <v>114</v>
      </c>
      <c r="I123">
        <v>2</v>
      </c>
      <c r="J123" t="s">
        <v>37</v>
      </c>
      <c r="K123" t="s">
        <v>23</v>
      </c>
      <c r="L123" t="s">
        <v>170</v>
      </c>
      <c r="M123">
        <f t="shared" si="1"/>
        <v>44122</v>
      </c>
    </row>
    <row r="124" spans="1:13" x14ac:dyDescent="0.3">
      <c r="A124">
        <v>1123</v>
      </c>
      <c r="B124" t="s">
        <v>30</v>
      </c>
      <c r="C124" t="s">
        <v>13</v>
      </c>
      <c r="D124" t="s">
        <v>49</v>
      </c>
      <c r="E124" t="s">
        <v>137</v>
      </c>
      <c r="F124">
        <v>14147</v>
      </c>
      <c r="G124">
        <v>5</v>
      </c>
      <c r="H124">
        <v>498</v>
      </c>
      <c r="I124">
        <v>2</v>
      </c>
      <c r="J124" t="s">
        <v>22</v>
      </c>
      <c r="K124" t="s">
        <v>23</v>
      </c>
      <c r="L124" t="s">
        <v>171</v>
      </c>
      <c r="M124">
        <f t="shared" si="1"/>
        <v>70237</v>
      </c>
    </row>
    <row r="125" spans="1:13" x14ac:dyDescent="0.3">
      <c r="A125">
        <v>1124</v>
      </c>
      <c r="B125" t="s">
        <v>34</v>
      </c>
      <c r="C125" t="s">
        <v>13</v>
      </c>
      <c r="D125" t="s">
        <v>27</v>
      </c>
      <c r="E125" t="s">
        <v>62</v>
      </c>
      <c r="F125">
        <v>6051</v>
      </c>
      <c r="G125">
        <v>1</v>
      </c>
      <c r="H125">
        <v>92</v>
      </c>
      <c r="I125">
        <v>3</v>
      </c>
      <c r="J125" t="s">
        <v>22</v>
      </c>
      <c r="K125" t="s">
        <v>32</v>
      </c>
      <c r="L125" t="s">
        <v>93</v>
      </c>
      <c r="M125">
        <f t="shared" si="1"/>
        <v>5959</v>
      </c>
    </row>
    <row r="126" spans="1:13" x14ac:dyDescent="0.3">
      <c r="A126">
        <v>1125</v>
      </c>
      <c r="B126" t="s">
        <v>172</v>
      </c>
      <c r="C126" t="s">
        <v>45</v>
      </c>
      <c r="D126" t="s">
        <v>14</v>
      </c>
      <c r="E126" t="s">
        <v>15</v>
      </c>
      <c r="F126">
        <v>12524</v>
      </c>
      <c r="G126">
        <v>5</v>
      </c>
      <c r="H126">
        <v>110</v>
      </c>
      <c r="I126">
        <v>5</v>
      </c>
      <c r="J126" t="s">
        <v>22</v>
      </c>
      <c r="K126" t="s">
        <v>23</v>
      </c>
      <c r="L126" t="s">
        <v>173</v>
      </c>
      <c r="M126">
        <f t="shared" si="1"/>
        <v>62510</v>
      </c>
    </row>
    <row r="127" spans="1:13" x14ac:dyDescent="0.3">
      <c r="A127">
        <v>1126</v>
      </c>
      <c r="B127" t="s">
        <v>174</v>
      </c>
      <c r="C127" t="s">
        <v>13</v>
      </c>
      <c r="D127" t="s">
        <v>27</v>
      </c>
      <c r="E127" t="s">
        <v>46</v>
      </c>
      <c r="F127">
        <v>10068</v>
      </c>
      <c r="G127">
        <v>1</v>
      </c>
      <c r="H127">
        <v>452</v>
      </c>
      <c r="I127">
        <v>2</v>
      </c>
      <c r="J127" t="s">
        <v>37</v>
      </c>
      <c r="K127" t="s">
        <v>23</v>
      </c>
      <c r="L127" t="s">
        <v>175</v>
      </c>
      <c r="M127">
        <f t="shared" si="1"/>
        <v>9616</v>
      </c>
    </row>
    <row r="128" spans="1:13" x14ac:dyDescent="0.3">
      <c r="A128">
        <v>1127</v>
      </c>
      <c r="B128" t="s">
        <v>64</v>
      </c>
      <c r="C128" t="s">
        <v>13</v>
      </c>
      <c r="D128" t="s">
        <v>35</v>
      </c>
      <c r="E128" t="s">
        <v>119</v>
      </c>
      <c r="F128">
        <v>10246</v>
      </c>
      <c r="G128">
        <v>4</v>
      </c>
      <c r="H128">
        <v>212</v>
      </c>
      <c r="I128">
        <v>4</v>
      </c>
      <c r="J128" t="s">
        <v>40</v>
      </c>
      <c r="K128" t="s">
        <v>23</v>
      </c>
      <c r="L128" t="s">
        <v>176</v>
      </c>
      <c r="M128">
        <f t="shared" si="1"/>
        <v>40772</v>
      </c>
    </row>
    <row r="129" spans="1:13" x14ac:dyDescent="0.3">
      <c r="A129">
        <v>1128</v>
      </c>
      <c r="B129" t="s">
        <v>140</v>
      </c>
      <c r="C129" t="s">
        <v>20</v>
      </c>
      <c r="D129" t="s">
        <v>27</v>
      </c>
      <c r="E129" t="s">
        <v>46</v>
      </c>
      <c r="F129">
        <v>8272</v>
      </c>
      <c r="G129">
        <v>5</v>
      </c>
      <c r="H129">
        <v>341</v>
      </c>
      <c r="I129">
        <v>4</v>
      </c>
      <c r="J129" t="s">
        <v>37</v>
      </c>
      <c r="K129" t="s">
        <v>17</v>
      </c>
      <c r="L129" t="s">
        <v>166</v>
      </c>
      <c r="M129">
        <f t="shared" si="1"/>
        <v>41019</v>
      </c>
    </row>
    <row r="130" spans="1:13" x14ac:dyDescent="0.3">
      <c r="A130">
        <v>1129</v>
      </c>
      <c r="B130" t="s">
        <v>81</v>
      </c>
      <c r="C130" t="s">
        <v>13</v>
      </c>
      <c r="D130" t="s">
        <v>27</v>
      </c>
      <c r="E130" t="s">
        <v>42</v>
      </c>
      <c r="F130">
        <v>12872</v>
      </c>
      <c r="G130">
        <v>2</v>
      </c>
      <c r="H130">
        <v>391</v>
      </c>
      <c r="I130">
        <v>4</v>
      </c>
      <c r="J130" t="s">
        <v>37</v>
      </c>
      <c r="K130" t="s">
        <v>23</v>
      </c>
      <c r="L130" t="s">
        <v>155</v>
      </c>
      <c r="M130">
        <f t="shared" si="1"/>
        <v>25353</v>
      </c>
    </row>
    <row r="131" spans="1:13" x14ac:dyDescent="0.3">
      <c r="A131">
        <v>1130</v>
      </c>
      <c r="B131" t="s">
        <v>56</v>
      </c>
      <c r="C131" t="s">
        <v>45</v>
      </c>
      <c r="D131" t="s">
        <v>35</v>
      </c>
      <c r="E131" t="s">
        <v>57</v>
      </c>
      <c r="F131">
        <v>2416</v>
      </c>
      <c r="G131">
        <v>4</v>
      </c>
      <c r="H131">
        <v>272</v>
      </c>
      <c r="I131">
        <v>3</v>
      </c>
      <c r="J131" t="s">
        <v>37</v>
      </c>
      <c r="K131" t="s">
        <v>23</v>
      </c>
      <c r="L131" t="s">
        <v>52</v>
      </c>
      <c r="M131">
        <f t="shared" ref="M131:M194" si="2">(F131*G131)-H131</f>
        <v>9392</v>
      </c>
    </row>
    <row r="132" spans="1:13" x14ac:dyDescent="0.3">
      <c r="A132">
        <v>1131</v>
      </c>
      <c r="B132" t="s">
        <v>108</v>
      </c>
      <c r="C132" t="s">
        <v>20</v>
      </c>
      <c r="D132" t="s">
        <v>14</v>
      </c>
      <c r="E132" t="s">
        <v>31</v>
      </c>
      <c r="F132">
        <v>607</v>
      </c>
      <c r="G132">
        <v>4</v>
      </c>
      <c r="H132">
        <v>471</v>
      </c>
      <c r="I132">
        <v>2</v>
      </c>
      <c r="J132" t="s">
        <v>16</v>
      </c>
      <c r="K132" t="s">
        <v>32</v>
      </c>
      <c r="L132" t="s">
        <v>93</v>
      </c>
      <c r="M132">
        <f t="shared" si="2"/>
        <v>1957</v>
      </c>
    </row>
    <row r="133" spans="1:13" x14ac:dyDescent="0.3">
      <c r="A133">
        <v>1132</v>
      </c>
      <c r="B133" t="s">
        <v>177</v>
      </c>
      <c r="C133" t="s">
        <v>20</v>
      </c>
      <c r="D133" t="s">
        <v>35</v>
      </c>
      <c r="E133" t="s">
        <v>106</v>
      </c>
      <c r="F133">
        <v>2187</v>
      </c>
      <c r="G133">
        <v>4</v>
      </c>
      <c r="H133">
        <v>10</v>
      </c>
      <c r="I133">
        <v>4</v>
      </c>
      <c r="J133" t="s">
        <v>40</v>
      </c>
      <c r="K133" t="s">
        <v>17</v>
      </c>
      <c r="L133" t="s">
        <v>110</v>
      </c>
      <c r="M133">
        <f t="shared" si="2"/>
        <v>8738</v>
      </c>
    </row>
    <row r="134" spans="1:13" x14ac:dyDescent="0.3">
      <c r="A134">
        <v>1133</v>
      </c>
      <c r="B134" t="s">
        <v>48</v>
      </c>
      <c r="C134" t="s">
        <v>45</v>
      </c>
      <c r="D134" t="s">
        <v>14</v>
      </c>
      <c r="E134" t="s">
        <v>21</v>
      </c>
      <c r="F134">
        <v>7438</v>
      </c>
      <c r="G134">
        <v>5</v>
      </c>
      <c r="H134">
        <v>205</v>
      </c>
      <c r="I134">
        <v>2</v>
      </c>
      <c r="J134" t="s">
        <v>22</v>
      </c>
      <c r="K134" t="s">
        <v>23</v>
      </c>
      <c r="L134" t="s">
        <v>178</v>
      </c>
      <c r="M134">
        <f t="shared" si="2"/>
        <v>36985</v>
      </c>
    </row>
    <row r="135" spans="1:13" x14ac:dyDescent="0.3">
      <c r="A135">
        <v>1134</v>
      </c>
      <c r="B135" t="s">
        <v>113</v>
      </c>
      <c r="C135" t="s">
        <v>45</v>
      </c>
      <c r="D135" t="s">
        <v>49</v>
      </c>
      <c r="E135" t="s">
        <v>83</v>
      </c>
      <c r="F135">
        <v>8663</v>
      </c>
      <c r="G135">
        <v>1</v>
      </c>
      <c r="H135">
        <v>271</v>
      </c>
      <c r="I135">
        <v>3</v>
      </c>
      <c r="J135" t="s">
        <v>22</v>
      </c>
      <c r="K135" t="s">
        <v>17</v>
      </c>
      <c r="L135" t="s">
        <v>29</v>
      </c>
      <c r="M135">
        <f t="shared" si="2"/>
        <v>8392</v>
      </c>
    </row>
    <row r="136" spans="1:13" x14ac:dyDescent="0.3">
      <c r="A136">
        <v>1135</v>
      </c>
      <c r="B136" t="s">
        <v>145</v>
      </c>
      <c r="C136" t="s">
        <v>26</v>
      </c>
      <c r="D136" t="s">
        <v>49</v>
      </c>
      <c r="E136" t="s">
        <v>71</v>
      </c>
      <c r="F136">
        <v>3532</v>
      </c>
      <c r="G136">
        <v>2</v>
      </c>
      <c r="H136">
        <v>308</v>
      </c>
      <c r="I136">
        <v>3</v>
      </c>
      <c r="J136" t="s">
        <v>16</v>
      </c>
      <c r="K136" t="s">
        <v>23</v>
      </c>
      <c r="L136" t="s">
        <v>179</v>
      </c>
      <c r="M136">
        <f t="shared" si="2"/>
        <v>6756</v>
      </c>
    </row>
    <row r="137" spans="1:13" x14ac:dyDescent="0.3">
      <c r="A137">
        <v>1136</v>
      </c>
      <c r="B137" t="s">
        <v>174</v>
      </c>
      <c r="C137" t="s">
        <v>13</v>
      </c>
      <c r="D137" t="s">
        <v>35</v>
      </c>
      <c r="E137" t="s">
        <v>65</v>
      </c>
      <c r="F137">
        <v>10834</v>
      </c>
      <c r="G137">
        <v>5</v>
      </c>
      <c r="H137">
        <v>165</v>
      </c>
      <c r="I137">
        <v>4</v>
      </c>
      <c r="J137" t="s">
        <v>16</v>
      </c>
      <c r="K137" t="s">
        <v>23</v>
      </c>
      <c r="L137" t="s">
        <v>143</v>
      </c>
      <c r="M137">
        <f t="shared" si="2"/>
        <v>54005</v>
      </c>
    </row>
    <row r="138" spans="1:13" x14ac:dyDescent="0.3">
      <c r="A138">
        <v>1137</v>
      </c>
      <c r="B138" t="s">
        <v>159</v>
      </c>
      <c r="C138" t="s">
        <v>20</v>
      </c>
      <c r="D138" t="s">
        <v>27</v>
      </c>
      <c r="E138" t="s">
        <v>62</v>
      </c>
      <c r="F138">
        <v>9989</v>
      </c>
      <c r="G138">
        <v>1</v>
      </c>
      <c r="H138">
        <v>180</v>
      </c>
      <c r="I138">
        <v>2</v>
      </c>
      <c r="J138" t="s">
        <v>37</v>
      </c>
      <c r="K138" t="s">
        <v>17</v>
      </c>
      <c r="L138" t="s">
        <v>41</v>
      </c>
      <c r="M138">
        <f t="shared" si="2"/>
        <v>9809</v>
      </c>
    </row>
    <row r="139" spans="1:13" x14ac:dyDescent="0.3">
      <c r="A139">
        <v>1138</v>
      </c>
      <c r="B139" t="s">
        <v>115</v>
      </c>
      <c r="C139" t="s">
        <v>13</v>
      </c>
      <c r="D139" t="s">
        <v>27</v>
      </c>
      <c r="E139" t="s">
        <v>28</v>
      </c>
      <c r="F139">
        <v>10862</v>
      </c>
      <c r="G139">
        <v>1</v>
      </c>
      <c r="H139">
        <v>314</v>
      </c>
      <c r="I139">
        <v>5</v>
      </c>
      <c r="J139" t="s">
        <v>16</v>
      </c>
      <c r="K139" t="s">
        <v>32</v>
      </c>
      <c r="L139" t="s">
        <v>163</v>
      </c>
      <c r="M139">
        <f t="shared" si="2"/>
        <v>10548</v>
      </c>
    </row>
    <row r="140" spans="1:13" x14ac:dyDescent="0.3">
      <c r="A140">
        <v>1139</v>
      </c>
      <c r="B140" t="s">
        <v>82</v>
      </c>
      <c r="C140" t="s">
        <v>13</v>
      </c>
      <c r="D140" t="s">
        <v>49</v>
      </c>
      <c r="E140" t="s">
        <v>71</v>
      </c>
      <c r="F140">
        <v>10212</v>
      </c>
      <c r="G140">
        <v>4</v>
      </c>
      <c r="H140">
        <v>256</v>
      </c>
      <c r="I140">
        <v>3</v>
      </c>
      <c r="J140" t="s">
        <v>40</v>
      </c>
      <c r="K140" t="s">
        <v>32</v>
      </c>
      <c r="L140" t="s">
        <v>84</v>
      </c>
      <c r="M140">
        <f t="shared" si="2"/>
        <v>40592</v>
      </c>
    </row>
    <row r="141" spans="1:13" x14ac:dyDescent="0.3">
      <c r="A141">
        <v>1140</v>
      </c>
      <c r="B141" t="s">
        <v>88</v>
      </c>
      <c r="C141" t="s">
        <v>45</v>
      </c>
      <c r="D141" t="s">
        <v>49</v>
      </c>
      <c r="E141" t="s">
        <v>83</v>
      </c>
      <c r="F141">
        <v>4359</v>
      </c>
      <c r="G141">
        <v>4</v>
      </c>
      <c r="H141">
        <v>224</v>
      </c>
      <c r="I141">
        <v>3</v>
      </c>
      <c r="J141" t="s">
        <v>16</v>
      </c>
      <c r="K141" t="s">
        <v>23</v>
      </c>
      <c r="L141" t="s">
        <v>178</v>
      </c>
      <c r="M141">
        <f t="shared" si="2"/>
        <v>17212</v>
      </c>
    </row>
    <row r="142" spans="1:13" x14ac:dyDescent="0.3">
      <c r="A142">
        <v>1141</v>
      </c>
      <c r="B142" t="s">
        <v>130</v>
      </c>
      <c r="C142" t="s">
        <v>20</v>
      </c>
      <c r="D142" t="s">
        <v>27</v>
      </c>
      <c r="E142" t="s">
        <v>46</v>
      </c>
      <c r="F142">
        <v>1157</v>
      </c>
      <c r="G142">
        <v>3</v>
      </c>
      <c r="H142">
        <v>33</v>
      </c>
      <c r="I142">
        <v>4</v>
      </c>
      <c r="J142" t="s">
        <v>40</v>
      </c>
      <c r="K142" t="s">
        <v>23</v>
      </c>
      <c r="L142" t="s">
        <v>160</v>
      </c>
      <c r="M142">
        <f t="shared" si="2"/>
        <v>3438</v>
      </c>
    </row>
    <row r="143" spans="1:13" x14ac:dyDescent="0.3">
      <c r="A143">
        <v>1142</v>
      </c>
      <c r="B143" t="s">
        <v>73</v>
      </c>
      <c r="C143" t="s">
        <v>20</v>
      </c>
      <c r="D143" t="s">
        <v>49</v>
      </c>
      <c r="E143" t="s">
        <v>71</v>
      </c>
      <c r="F143">
        <v>1635</v>
      </c>
      <c r="G143">
        <v>5</v>
      </c>
      <c r="H143">
        <v>339</v>
      </c>
      <c r="I143">
        <v>3</v>
      </c>
      <c r="J143" t="s">
        <v>22</v>
      </c>
      <c r="K143" t="s">
        <v>32</v>
      </c>
      <c r="L143" t="s">
        <v>89</v>
      </c>
      <c r="M143">
        <f t="shared" si="2"/>
        <v>7836</v>
      </c>
    </row>
    <row r="144" spans="1:13" x14ac:dyDescent="0.3">
      <c r="A144">
        <v>1143</v>
      </c>
      <c r="B144" t="s">
        <v>12</v>
      </c>
      <c r="C144" t="s">
        <v>13</v>
      </c>
      <c r="D144" t="s">
        <v>14</v>
      </c>
      <c r="E144" t="s">
        <v>99</v>
      </c>
      <c r="F144">
        <v>9457</v>
      </c>
      <c r="G144">
        <v>4</v>
      </c>
      <c r="H144">
        <v>329</v>
      </c>
      <c r="I144">
        <v>4</v>
      </c>
      <c r="J144" t="s">
        <v>16</v>
      </c>
      <c r="K144" t="s">
        <v>32</v>
      </c>
      <c r="L144" t="s">
        <v>180</v>
      </c>
      <c r="M144">
        <f t="shared" si="2"/>
        <v>37499</v>
      </c>
    </row>
    <row r="145" spans="1:13" x14ac:dyDescent="0.3">
      <c r="A145">
        <v>1144</v>
      </c>
      <c r="B145" t="s">
        <v>25</v>
      </c>
      <c r="C145" t="s">
        <v>26</v>
      </c>
      <c r="D145" t="s">
        <v>14</v>
      </c>
      <c r="E145" t="s">
        <v>99</v>
      </c>
      <c r="F145">
        <v>5360</v>
      </c>
      <c r="G145">
        <v>2</v>
      </c>
      <c r="H145">
        <v>486</v>
      </c>
      <c r="I145">
        <v>3</v>
      </c>
      <c r="J145" t="s">
        <v>22</v>
      </c>
      <c r="K145" t="s">
        <v>17</v>
      </c>
      <c r="L145" t="s">
        <v>131</v>
      </c>
      <c r="M145">
        <f t="shared" si="2"/>
        <v>10234</v>
      </c>
    </row>
    <row r="146" spans="1:13" x14ac:dyDescent="0.3">
      <c r="A146">
        <v>1145</v>
      </c>
      <c r="B146" t="s">
        <v>90</v>
      </c>
      <c r="C146" t="s">
        <v>26</v>
      </c>
      <c r="D146" t="s">
        <v>14</v>
      </c>
      <c r="E146" t="s">
        <v>99</v>
      </c>
      <c r="F146">
        <v>14135</v>
      </c>
      <c r="G146">
        <v>1</v>
      </c>
      <c r="H146">
        <v>259</v>
      </c>
      <c r="I146">
        <v>2</v>
      </c>
      <c r="J146" t="s">
        <v>16</v>
      </c>
      <c r="K146" t="s">
        <v>17</v>
      </c>
      <c r="L146" t="s">
        <v>101</v>
      </c>
      <c r="M146">
        <f t="shared" si="2"/>
        <v>13876</v>
      </c>
    </row>
    <row r="147" spans="1:13" x14ac:dyDescent="0.3">
      <c r="A147">
        <v>1146</v>
      </c>
      <c r="B147" t="s">
        <v>70</v>
      </c>
      <c r="C147" t="s">
        <v>13</v>
      </c>
      <c r="D147" t="s">
        <v>49</v>
      </c>
      <c r="E147" t="s">
        <v>95</v>
      </c>
      <c r="F147">
        <v>12933</v>
      </c>
      <c r="G147">
        <v>5</v>
      </c>
      <c r="H147">
        <v>414</v>
      </c>
      <c r="I147">
        <v>3</v>
      </c>
      <c r="J147" t="s">
        <v>16</v>
      </c>
      <c r="K147" t="s">
        <v>23</v>
      </c>
      <c r="L147" t="s">
        <v>161</v>
      </c>
      <c r="M147">
        <f t="shared" si="2"/>
        <v>64251</v>
      </c>
    </row>
    <row r="148" spans="1:13" x14ac:dyDescent="0.3">
      <c r="A148">
        <v>1147</v>
      </c>
      <c r="B148" t="s">
        <v>44</v>
      </c>
      <c r="C148" t="s">
        <v>26</v>
      </c>
      <c r="D148" t="s">
        <v>49</v>
      </c>
      <c r="E148" t="s">
        <v>137</v>
      </c>
      <c r="F148">
        <v>10303</v>
      </c>
      <c r="G148">
        <v>3</v>
      </c>
      <c r="H148">
        <v>385</v>
      </c>
      <c r="I148">
        <v>5</v>
      </c>
      <c r="J148" t="s">
        <v>40</v>
      </c>
      <c r="K148" t="s">
        <v>23</v>
      </c>
      <c r="L148" t="s">
        <v>98</v>
      </c>
      <c r="M148">
        <f t="shared" si="2"/>
        <v>30524</v>
      </c>
    </row>
    <row r="149" spans="1:13" x14ac:dyDescent="0.3">
      <c r="A149">
        <v>1148</v>
      </c>
      <c r="B149" t="s">
        <v>113</v>
      </c>
      <c r="C149" t="s">
        <v>20</v>
      </c>
      <c r="D149" t="s">
        <v>49</v>
      </c>
      <c r="E149" t="s">
        <v>71</v>
      </c>
      <c r="F149">
        <v>11413</v>
      </c>
      <c r="G149">
        <v>5</v>
      </c>
      <c r="H149">
        <v>225</v>
      </c>
      <c r="I149">
        <v>5</v>
      </c>
      <c r="J149" t="s">
        <v>16</v>
      </c>
      <c r="K149" t="s">
        <v>17</v>
      </c>
      <c r="L149" t="s">
        <v>181</v>
      </c>
      <c r="M149">
        <f t="shared" si="2"/>
        <v>56840</v>
      </c>
    </row>
    <row r="150" spans="1:13" x14ac:dyDescent="0.3">
      <c r="A150">
        <v>1149</v>
      </c>
      <c r="B150" t="s">
        <v>88</v>
      </c>
      <c r="C150" t="s">
        <v>13</v>
      </c>
      <c r="D150" t="s">
        <v>49</v>
      </c>
      <c r="E150" t="s">
        <v>50</v>
      </c>
      <c r="F150">
        <v>2567</v>
      </c>
      <c r="G150">
        <v>3</v>
      </c>
      <c r="H150">
        <v>26</v>
      </c>
      <c r="I150">
        <v>5</v>
      </c>
      <c r="J150" t="s">
        <v>37</v>
      </c>
      <c r="K150" t="s">
        <v>23</v>
      </c>
      <c r="L150" t="s">
        <v>84</v>
      </c>
      <c r="M150">
        <f t="shared" si="2"/>
        <v>7675</v>
      </c>
    </row>
    <row r="151" spans="1:13" x14ac:dyDescent="0.3">
      <c r="A151">
        <v>1150</v>
      </c>
      <c r="B151" t="s">
        <v>61</v>
      </c>
      <c r="C151" t="s">
        <v>20</v>
      </c>
      <c r="D151" t="s">
        <v>49</v>
      </c>
      <c r="E151" t="s">
        <v>71</v>
      </c>
      <c r="F151">
        <v>7661</v>
      </c>
      <c r="G151">
        <v>5</v>
      </c>
      <c r="H151">
        <v>75</v>
      </c>
      <c r="I151">
        <v>5</v>
      </c>
      <c r="J151" t="s">
        <v>40</v>
      </c>
      <c r="K151" t="s">
        <v>17</v>
      </c>
      <c r="L151" t="s">
        <v>109</v>
      </c>
      <c r="M151">
        <f t="shared" si="2"/>
        <v>38230</v>
      </c>
    </row>
    <row r="152" spans="1:13" x14ac:dyDescent="0.3">
      <c r="A152">
        <v>1151</v>
      </c>
      <c r="B152" t="s">
        <v>61</v>
      </c>
      <c r="C152" t="s">
        <v>26</v>
      </c>
      <c r="D152" t="s">
        <v>14</v>
      </c>
      <c r="E152" t="s">
        <v>31</v>
      </c>
      <c r="F152">
        <v>8524</v>
      </c>
      <c r="G152">
        <v>3</v>
      </c>
      <c r="H152">
        <v>120</v>
      </c>
      <c r="I152">
        <v>5</v>
      </c>
      <c r="J152" t="s">
        <v>37</v>
      </c>
      <c r="K152" t="s">
        <v>23</v>
      </c>
      <c r="L152" t="s">
        <v>182</v>
      </c>
      <c r="M152">
        <f t="shared" si="2"/>
        <v>25452</v>
      </c>
    </row>
    <row r="153" spans="1:13" x14ac:dyDescent="0.3">
      <c r="A153">
        <v>1152</v>
      </c>
      <c r="B153" t="s">
        <v>12</v>
      </c>
      <c r="C153" t="s">
        <v>45</v>
      </c>
      <c r="D153" t="s">
        <v>14</v>
      </c>
      <c r="E153" t="s">
        <v>92</v>
      </c>
      <c r="F153">
        <v>10948</v>
      </c>
      <c r="G153">
        <v>3</v>
      </c>
      <c r="H153">
        <v>405</v>
      </c>
      <c r="I153">
        <v>3</v>
      </c>
      <c r="J153" t="s">
        <v>16</v>
      </c>
      <c r="K153" t="s">
        <v>32</v>
      </c>
      <c r="L153" t="s">
        <v>124</v>
      </c>
      <c r="M153">
        <f t="shared" si="2"/>
        <v>32439</v>
      </c>
    </row>
    <row r="154" spans="1:13" x14ac:dyDescent="0.3">
      <c r="A154">
        <v>1153</v>
      </c>
      <c r="B154" t="s">
        <v>61</v>
      </c>
      <c r="C154" t="s">
        <v>45</v>
      </c>
      <c r="D154" t="s">
        <v>49</v>
      </c>
      <c r="E154" t="s">
        <v>95</v>
      </c>
      <c r="F154">
        <v>7985</v>
      </c>
      <c r="G154">
        <v>4</v>
      </c>
      <c r="H154">
        <v>315</v>
      </c>
      <c r="I154">
        <v>2</v>
      </c>
      <c r="J154" t="s">
        <v>22</v>
      </c>
      <c r="K154" t="s">
        <v>17</v>
      </c>
      <c r="L154" t="s">
        <v>68</v>
      </c>
      <c r="M154">
        <f t="shared" si="2"/>
        <v>31625</v>
      </c>
    </row>
    <row r="155" spans="1:13" x14ac:dyDescent="0.3">
      <c r="A155">
        <v>1154</v>
      </c>
      <c r="B155" t="s">
        <v>183</v>
      </c>
      <c r="C155" t="s">
        <v>26</v>
      </c>
      <c r="D155" t="s">
        <v>35</v>
      </c>
      <c r="E155" t="s">
        <v>36</v>
      </c>
      <c r="F155">
        <v>13016</v>
      </c>
      <c r="G155">
        <v>3</v>
      </c>
      <c r="H155">
        <v>121</v>
      </c>
      <c r="I155">
        <v>4</v>
      </c>
      <c r="J155" t="s">
        <v>16</v>
      </c>
      <c r="K155" t="s">
        <v>32</v>
      </c>
      <c r="L155" t="s">
        <v>157</v>
      </c>
      <c r="M155">
        <f t="shared" si="2"/>
        <v>38927</v>
      </c>
    </row>
    <row r="156" spans="1:13" x14ac:dyDescent="0.3">
      <c r="A156">
        <v>1155</v>
      </c>
      <c r="B156" t="s">
        <v>111</v>
      </c>
      <c r="C156" t="s">
        <v>26</v>
      </c>
      <c r="D156" t="s">
        <v>35</v>
      </c>
      <c r="E156" t="s">
        <v>36</v>
      </c>
      <c r="F156">
        <v>2116</v>
      </c>
      <c r="G156">
        <v>4</v>
      </c>
      <c r="H156">
        <v>305</v>
      </c>
      <c r="I156">
        <v>2</v>
      </c>
      <c r="J156" t="s">
        <v>22</v>
      </c>
      <c r="K156" t="s">
        <v>23</v>
      </c>
      <c r="L156" t="s">
        <v>76</v>
      </c>
      <c r="M156">
        <f t="shared" si="2"/>
        <v>8159</v>
      </c>
    </row>
    <row r="157" spans="1:13" x14ac:dyDescent="0.3">
      <c r="A157">
        <v>1156</v>
      </c>
      <c r="B157" t="s">
        <v>104</v>
      </c>
      <c r="C157" t="s">
        <v>45</v>
      </c>
      <c r="D157" t="s">
        <v>14</v>
      </c>
      <c r="E157" t="s">
        <v>126</v>
      </c>
      <c r="F157">
        <v>6080</v>
      </c>
      <c r="G157">
        <v>2</v>
      </c>
      <c r="H157">
        <v>292</v>
      </c>
      <c r="I157">
        <v>5</v>
      </c>
      <c r="J157" t="s">
        <v>37</v>
      </c>
      <c r="K157" t="s">
        <v>32</v>
      </c>
      <c r="L157" t="s">
        <v>78</v>
      </c>
      <c r="M157">
        <f t="shared" si="2"/>
        <v>11868</v>
      </c>
    </row>
    <row r="158" spans="1:13" x14ac:dyDescent="0.3">
      <c r="A158">
        <v>1157</v>
      </c>
      <c r="B158" t="s">
        <v>88</v>
      </c>
      <c r="C158" t="s">
        <v>13</v>
      </c>
      <c r="D158" t="s">
        <v>14</v>
      </c>
      <c r="E158" t="s">
        <v>31</v>
      </c>
      <c r="F158">
        <v>14608</v>
      </c>
      <c r="G158">
        <v>4</v>
      </c>
      <c r="H158">
        <v>22</v>
      </c>
      <c r="I158">
        <v>5</v>
      </c>
      <c r="J158" t="s">
        <v>40</v>
      </c>
      <c r="K158" t="s">
        <v>17</v>
      </c>
      <c r="L158" t="s">
        <v>184</v>
      </c>
      <c r="M158">
        <f t="shared" si="2"/>
        <v>58410</v>
      </c>
    </row>
    <row r="159" spans="1:13" x14ac:dyDescent="0.3">
      <c r="A159">
        <v>1158</v>
      </c>
      <c r="B159" t="s">
        <v>12</v>
      </c>
      <c r="C159" t="s">
        <v>45</v>
      </c>
      <c r="D159" t="s">
        <v>49</v>
      </c>
      <c r="E159" t="s">
        <v>95</v>
      </c>
      <c r="F159">
        <v>11065</v>
      </c>
      <c r="G159">
        <v>1</v>
      </c>
      <c r="H159">
        <v>395</v>
      </c>
      <c r="I159">
        <v>4</v>
      </c>
      <c r="J159" t="s">
        <v>40</v>
      </c>
      <c r="K159" t="s">
        <v>32</v>
      </c>
      <c r="L159" t="s">
        <v>139</v>
      </c>
      <c r="M159">
        <f t="shared" si="2"/>
        <v>10670</v>
      </c>
    </row>
    <row r="160" spans="1:13" x14ac:dyDescent="0.3">
      <c r="A160">
        <v>1159</v>
      </c>
      <c r="B160" t="s">
        <v>128</v>
      </c>
      <c r="C160" t="s">
        <v>13</v>
      </c>
      <c r="D160" t="s">
        <v>35</v>
      </c>
      <c r="E160" t="s">
        <v>119</v>
      </c>
      <c r="F160">
        <v>10650</v>
      </c>
      <c r="G160">
        <v>2</v>
      </c>
      <c r="H160">
        <v>415</v>
      </c>
      <c r="I160">
        <v>3</v>
      </c>
      <c r="J160" t="s">
        <v>40</v>
      </c>
      <c r="K160" t="s">
        <v>17</v>
      </c>
      <c r="L160" t="s">
        <v>185</v>
      </c>
      <c r="M160">
        <f t="shared" si="2"/>
        <v>20885</v>
      </c>
    </row>
    <row r="161" spans="1:13" x14ac:dyDescent="0.3">
      <c r="A161">
        <v>1160</v>
      </c>
      <c r="B161" t="s">
        <v>121</v>
      </c>
      <c r="C161" t="s">
        <v>45</v>
      </c>
      <c r="D161" t="s">
        <v>49</v>
      </c>
      <c r="E161" t="s">
        <v>83</v>
      </c>
      <c r="F161">
        <v>5470</v>
      </c>
      <c r="G161">
        <v>3</v>
      </c>
      <c r="H161">
        <v>263</v>
      </c>
      <c r="I161">
        <v>5</v>
      </c>
      <c r="J161" t="s">
        <v>37</v>
      </c>
      <c r="K161" t="s">
        <v>32</v>
      </c>
      <c r="L161" t="s">
        <v>147</v>
      </c>
      <c r="M161">
        <f t="shared" si="2"/>
        <v>16147</v>
      </c>
    </row>
    <row r="162" spans="1:13" x14ac:dyDescent="0.3">
      <c r="A162">
        <v>1161</v>
      </c>
      <c r="B162" t="s">
        <v>103</v>
      </c>
      <c r="C162" t="s">
        <v>45</v>
      </c>
      <c r="D162" t="s">
        <v>27</v>
      </c>
      <c r="E162" t="s">
        <v>62</v>
      </c>
      <c r="F162">
        <v>14425</v>
      </c>
      <c r="G162">
        <v>1</v>
      </c>
      <c r="H162">
        <v>443</v>
      </c>
      <c r="I162">
        <v>4</v>
      </c>
      <c r="J162" t="s">
        <v>16</v>
      </c>
      <c r="K162" t="s">
        <v>23</v>
      </c>
      <c r="L162" t="s">
        <v>155</v>
      </c>
      <c r="M162">
        <f t="shared" si="2"/>
        <v>13982</v>
      </c>
    </row>
    <row r="163" spans="1:13" x14ac:dyDescent="0.3">
      <c r="A163">
        <v>1162</v>
      </c>
      <c r="B163" t="s">
        <v>88</v>
      </c>
      <c r="C163" t="s">
        <v>45</v>
      </c>
      <c r="D163" t="s">
        <v>35</v>
      </c>
      <c r="E163" t="s">
        <v>119</v>
      </c>
      <c r="F163">
        <v>5854</v>
      </c>
      <c r="G163">
        <v>2</v>
      </c>
      <c r="H163">
        <v>254</v>
      </c>
      <c r="I163">
        <v>5</v>
      </c>
      <c r="J163" t="s">
        <v>37</v>
      </c>
      <c r="K163" t="s">
        <v>32</v>
      </c>
      <c r="L163" t="s">
        <v>76</v>
      </c>
      <c r="M163">
        <f t="shared" si="2"/>
        <v>11454</v>
      </c>
    </row>
    <row r="164" spans="1:13" x14ac:dyDescent="0.3">
      <c r="A164">
        <v>1163</v>
      </c>
      <c r="B164" t="s">
        <v>108</v>
      </c>
      <c r="C164" t="s">
        <v>13</v>
      </c>
      <c r="D164" t="s">
        <v>14</v>
      </c>
      <c r="E164" t="s">
        <v>31</v>
      </c>
      <c r="F164">
        <v>10170</v>
      </c>
      <c r="G164">
        <v>2</v>
      </c>
      <c r="H164">
        <v>279</v>
      </c>
      <c r="I164">
        <v>4</v>
      </c>
      <c r="J164" t="s">
        <v>40</v>
      </c>
      <c r="K164" t="s">
        <v>32</v>
      </c>
      <c r="L164" t="s">
        <v>55</v>
      </c>
      <c r="M164">
        <f t="shared" si="2"/>
        <v>20061</v>
      </c>
    </row>
    <row r="165" spans="1:13" x14ac:dyDescent="0.3">
      <c r="A165">
        <v>1164</v>
      </c>
      <c r="B165" t="s">
        <v>73</v>
      </c>
      <c r="C165" t="s">
        <v>13</v>
      </c>
      <c r="D165" t="s">
        <v>27</v>
      </c>
      <c r="E165" t="s">
        <v>67</v>
      </c>
      <c r="F165">
        <v>10173</v>
      </c>
      <c r="G165">
        <v>4</v>
      </c>
      <c r="H165">
        <v>85</v>
      </c>
      <c r="I165">
        <v>5</v>
      </c>
      <c r="J165" t="s">
        <v>40</v>
      </c>
      <c r="K165" t="s">
        <v>32</v>
      </c>
      <c r="L165" t="s">
        <v>110</v>
      </c>
      <c r="M165">
        <f t="shared" si="2"/>
        <v>40607</v>
      </c>
    </row>
    <row r="166" spans="1:13" x14ac:dyDescent="0.3">
      <c r="A166">
        <v>1165</v>
      </c>
      <c r="B166" t="s">
        <v>186</v>
      </c>
      <c r="C166" t="s">
        <v>20</v>
      </c>
      <c r="D166" t="s">
        <v>27</v>
      </c>
      <c r="E166" t="s">
        <v>28</v>
      </c>
      <c r="F166">
        <v>1529</v>
      </c>
      <c r="G166">
        <v>4</v>
      </c>
      <c r="H166">
        <v>186</v>
      </c>
      <c r="I166">
        <v>3</v>
      </c>
      <c r="J166" t="s">
        <v>37</v>
      </c>
      <c r="K166" t="s">
        <v>17</v>
      </c>
      <c r="L166" t="s">
        <v>47</v>
      </c>
      <c r="M166">
        <f t="shared" si="2"/>
        <v>5930</v>
      </c>
    </row>
    <row r="167" spans="1:13" x14ac:dyDescent="0.3">
      <c r="A167">
        <v>1166</v>
      </c>
      <c r="B167" t="s">
        <v>30</v>
      </c>
      <c r="C167" t="s">
        <v>20</v>
      </c>
      <c r="D167" t="s">
        <v>49</v>
      </c>
      <c r="E167" t="s">
        <v>95</v>
      </c>
      <c r="F167">
        <v>6301</v>
      </c>
      <c r="G167">
        <v>3</v>
      </c>
      <c r="H167">
        <v>196</v>
      </c>
      <c r="I167">
        <v>2</v>
      </c>
      <c r="J167" t="s">
        <v>40</v>
      </c>
      <c r="K167" t="s">
        <v>23</v>
      </c>
      <c r="L167" t="s">
        <v>175</v>
      </c>
      <c r="M167">
        <f t="shared" si="2"/>
        <v>18707</v>
      </c>
    </row>
    <row r="168" spans="1:13" x14ac:dyDescent="0.3">
      <c r="A168">
        <v>1167</v>
      </c>
      <c r="B168" t="s">
        <v>108</v>
      </c>
      <c r="C168" t="s">
        <v>26</v>
      </c>
      <c r="D168" t="s">
        <v>14</v>
      </c>
      <c r="E168" t="s">
        <v>126</v>
      </c>
      <c r="F168">
        <v>2555</v>
      </c>
      <c r="G168">
        <v>5</v>
      </c>
      <c r="H168">
        <v>187</v>
      </c>
      <c r="I168">
        <v>5</v>
      </c>
      <c r="J168" t="s">
        <v>37</v>
      </c>
      <c r="K168" t="s">
        <v>17</v>
      </c>
      <c r="L168" t="s">
        <v>187</v>
      </c>
      <c r="M168">
        <f t="shared" si="2"/>
        <v>12588</v>
      </c>
    </row>
    <row r="169" spans="1:13" x14ac:dyDescent="0.3">
      <c r="A169">
        <v>1168</v>
      </c>
      <c r="B169" t="s">
        <v>138</v>
      </c>
      <c r="C169" t="s">
        <v>20</v>
      </c>
      <c r="D169" t="s">
        <v>49</v>
      </c>
      <c r="E169" t="s">
        <v>137</v>
      </c>
      <c r="F169">
        <v>8782</v>
      </c>
      <c r="G169">
        <v>4</v>
      </c>
      <c r="H169">
        <v>467</v>
      </c>
      <c r="I169">
        <v>2</v>
      </c>
      <c r="J169" t="s">
        <v>22</v>
      </c>
      <c r="K169" t="s">
        <v>32</v>
      </c>
      <c r="L169" t="s">
        <v>188</v>
      </c>
      <c r="M169">
        <f t="shared" si="2"/>
        <v>34661</v>
      </c>
    </row>
    <row r="170" spans="1:13" x14ac:dyDescent="0.3">
      <c r="A170">
        <v>1169</v>
      </c>
      <c r="B170" t="s">
        <v>77</v>
      </c>
      <c r="C170" t="s">
        <v>20</v>
      </c>
      <c r="D170" t="s">
        <v>35</v>
      </c>
      <c r="E170" t="s">
        <v>57</v>
      </c>
      <c r="F170">
        <v>2309</v>
      </c>
      <c r="G170">
        <v>2</v>
      </c>
      <c r="H170">
        <v>436</v>
      </c>
      <c r="I170">
        <v>2</v>
      </c>
      <c r="J170" t="s">
        <v>37</v>
      </c>
      <c r="K170" t="s">
        <v>32</v>
      </c>
      <c r="L170" t="s">
        <v>165</v>
      </c>
      <c r="M170">
        <f t="shared" si="2"/>
        <v>4182</v>
      </c>
    </row>
    <row r="171" spans="1:13" x14ac:dyDescent="0.3">
      <c r="A171">
        <v>1170</v>
      </c>
      <c r="B171" t="s">
        <v>159</v>
      </c>
      <c r="C171" t="s">
        <v>26</v>
      </c>
      <c r="D171" t="s">
        <v>27</v>
      </c>
      <c r="E171" t="s">
        <v>62</v>
      </c>
      <c r="F171">
        <v>11925</v>
      </c>
      <c r="G171">
        <v>1</v>
      </c>
      <c r="H171">
        <v>281</v>
      </c>
      <c r="I171">
        <v>4</v>
      </c>
      <c r="J171" t="s">
        <v>40</v>
      </c>
      <c r="K171" t="s">
        <v>32</v>
      </c>
      <c r="L171" t="s">
        <v>189</v>
      </c>
      <c r="M171">
        <f t="shared" si="2"/>
        <v>11644</v>
      </c>
    </row>
    <row r="172" spans="1:13" x14ac:dyDescent="0.3">
      <c r="A172">
        <v>1171</v>
      </c>
      <c r="B172" t="s">
        <v>186</v>
      </c>
      <c r="C172" t="s">
        <v>45</v>
      </c>
      <c r="D172" t="s">
        <v>14</v>
      </c>
      <c r="E172" t="s">
        <v>21</v>
      </c>
      <c r="F172">
        <v>13277</v>
      </c>
      <c r="G172">
        <v>2</v>
      </c>
      <c r="H172">
        <v>121</v>
      </c>
      <c r="I172">
        <v>5</v>
      </c>
      <c r="J172" t="s">
        <v>16</v>
      </c>
      <c r="K172" t="s">
        <v>32</v>
      </c>
      <c r="L172" t="s">
        <v>85</v>
      </c>
      <c r="M172">
        <f t="shared" si="2"/>
        <v>26433</v>
      </c>
    </row>
    <row r="173" spans="1:13" x14ac:dyDescent="0.3">
      <c r="A173">
        <v>1172</v>
      </c>
      <c r="B173" t="s">
        <v>133</v>
      </c>
      <c r="C173" t="s">
        <v>20</v>
      </c>
      <c r="D173" t="s">
        <v>14</v>
      </c>
      <c r="E173" t="s">
        <v>15</v>
      </c>
      <c r="F173">
        <v>5367</v>
      </c>
      <c r="G173">
        <v>4</v>
      </c>
      <c r="H173">
        <v>367</v>
      </c>
      <c r="I173">
        <v>5</v>
      </c>
      <c r="J173" t="s">
        <v>37</v>
      </c>
      <c r="K173" t="s">
        <v>17</v>
      </c>
      <c r="L173" t="s">
        <v>107</v>
      </c>
      <c r="M173">
        <f t="shared" si="2"/>
        <v>21101</v>
      </c>
    </row>
    <row r="174" spans="1:13" x14ac:dyDescent="0.3">
      <c r="A174">
        <v>1173</v>
      </c>
      <c r="B174" t="s">
        <v>113</v>
      </c>
      <c r="C174" t="s">
        <v>26</v>
      </c>
      <c r="D174" t="s">
        <v>14</v>
      </c>
      <c r="E174" t="s">
        <v>31</v>
      </c>
      <c r="F174">
        <v>7932</v>
      </c>
      <c r="G174">
        <v>5</v>
      </c>
      <c r="H174">
        <v>176</v>
      </c>
      <c r="I174">
        <v>3</v>
      </c>
      <c r="J174" t="s">
        <v>22</v>
      </c>
      <c r="K174" t="s">
        <v>23</v>
      </c>
      <c r="L174" t="s">
        <v>58</v>
      </c>
      <c r="M174">
        <f t="shared" si="2"/>
        <v>39484</v>
      </c>
    </row>
    <row r="175" spans="1:13" x14ac:dyDescent="0.3">
      <c r="A175">
        <v>1174</v>
      </c>
      <c r="B175" t="s">
        <v>177</v>
      </c>
      <c r="C175" t="s">
        <v>26</v>
      </c>
      <c r="D175" t="s">
        <v>14</v>
      </c>
      <c r="E175" t="s">
        <v>15</v>
      </c>
      <c r="F175">
        <v>8788</v>
      </c>
      <c r="G175">
        <v>2</v>
      </c>
      <c r="H175">
        <v>155</v>
      </c>
      <c r="I175">
        <v>3</v>
      </c>
      <c r="J175" t="s">
        <v>40</v>
      </c>
      <c r="K175" t="s">
        <v>32</v>
      </c>
      <c r="L175" t="s">
        <v>190</v>
      </c>
      <c r="M175">
        <f t="shared" si="2"/>
        <v>17421</v>
      </c>
    </row>
    <row r="176" spans="1:13" x14ac:dyDescent="0.3">
      <c r="A176">
        <v>1175</v>
      </c>
      <c r="B176" t="s">
        <v>12</v>
      </c>
      <c r="C176" t="s">
        <v>13</v>
      </c>
      <c r="D176" t="s">
        <v>27</v>
      </c>
      <c r="E176" t="s">
        <v>28</v>
      </c>
      <c r="F176">
        <v>4405</v>
      </c>
      <c r="G176">
        <v>2</v>
      </c>
      <c r="H176">
        <v>325</v>
      </c>
      <c r="I176">
        <v>4</v>
      </c>
      <c r="J176" t="s">
        <v>22</v>
      </c>
      <c r="K176" t="s">
        <v>32</v>
      </c>
      <c r="L176" t="s">
        <v>96</v>
      </c>
      <c r="M176">
        <f t="shared" si="2"/>
        <v>8485</v>
      </c>
    </row>
    <row r="177" spans="1:13" x14ac:dyDescent="0.3">
      <c r="A177">
        <v>1176</v>
      </c>
      <c r="B177" t="s">
        <v>34</v>
      </c>
      <c r="C177" t="s">
        <v>13</v>
      </c>
      <c r="D177" t="s">
        <v>49</v>
      </c>
      <c r="E177" t="s">
        <v>59</v>
      </c>
      <c r="F177">
        <v>11092</v>
      </c>
      <c r="G177">
        <v>5</v>
      </c>
      <c r="H177">
        <v>368</v>
      </c>
      <c r="I177">
        <v>4</v>
      </c>
      <c r="J177" t="s">
        <v>37</v>
      </c>
      <c r="K177" t="s">
        <v>17</v>
      </c>
      <c r="L177" t="s">
        <v>191</v>
      </c>
      <c r="M177">
        <f t="shared" si="2"/>
        <v>55092</v>
      </c>
    </row>
    <row r="178" spans="1:13" x14ac:dyDescent="0.3">
      <c r="A178">
        <v>1177</v>
      </c>
      <c r="B178" t="s">
        <v>79</v>
      </c>
      <c r="C178" t="s">
        <v>45</v>
      </c>
      <c r="D178" t="s">
        <v>27</v>
      </c>
      <c r="E178" t="s">
        <v>42</v>
      </c>
      <c r="F178">
        <v>12865</v>
      </c>
      <c r="G178">
        <v>5</v>
      </c>
      <c r="H178">
        <v>213</v>
      </c>
      <c r="I178">
        <v>2</v>
      </c>
      <c r="J178" t="s">
        <v>40</v>
      </c>
      <c r="K178" t="s">
        <v>23</v>
      </c>
      <c r="L178" t="s">
        <v>51</v>
      </c>
      <c r="M178">
        <f t="shared" si="2"/>
        <v>64112</v>
      </c>
    </row>
    <row r="179" spans="1:13" x14ac:dyDescent="0.3">
      <c r="A179">
        <v>1178</v>
      </c>
      <c r="B179" t="s">
        <v>177</v>
      </c>
      <c r="C179" t="s">
        <v>20</v>
      </c>
      <c r="D179" t="s">
        <v>35</v>
      </c>
      <c r="E179" t="s">
        <v>106</v>
      </c>
      <c r="F179">
        <v>7730</v>
      </c>
      <c r="G179">
        <v>1</v>
      </c>
      <c r="H179">
        <v>352</v>
      </c>
      <c r="I179">
        <v>2</v>
      </c>
      <c r="J179" t="s">
        <v>16</v>
      </c>
      <c r="K179" t="s">
        <v>23</v>
      </c>
      <c r="L179" t="s">
        <v>166</v>
      </c>
      <c r="M179">
        <f t="shared" si="2"/>
        <v>7378</v>
      </c>
    </row>
    <row r="180" spans="1:13" x14ac:dyDescent="0.3">
      <c r="A180">
        <v>1179</v>
      </c>
      <c r="B180" t="s">
        <v>70</v>
      </c>
      <c r="C180" t="s">
        <v>20</v>
      </c>
      <c r="D180" t="s">
        <v>27</v>
      </c>
      <c r="E180" t="s">
        <v>46</v>
      </c>
      <c r="F180">
        <v>2653</v>
      </c>
      <c r="G180">
        <v>3</v>
      </c>
      <c r="H180">
        <v>441</v>
      </c>
      <c r="I180">
        <v>4</v>
      </c>
      <c r="J180" t="s">
        <v>22</v>
      </c>
      <c r="K180" t="s">
        <v>23</v>
      </c>
      <c r="L180" t="s">
        <v>69</v>
      </c>
      <c r="M180">
        <f t="shared" si="2"/>
        <v>7518</v>
      </c>
    </row>
    <row r="181" spans="1:13" x14ac:dyDescent="0.3">
      <c r="A181">
        <v>1180</v>
      </c>
      <c r="B181" t="s">
        <v>77</v>
      </c>
      <c r="C181" t="s">
        <v>26</v>
      </c>
      <c r="D181" t="s">
        <v>14</v>
      </c>
      <c r="E181" t="s">
        <v>99</v>
      </c>
      <c r="F181">
        <v>4260</v>
      </c>
      <c r="G181">
        <v>4</v>
      </c>
      <c r="H181">
        <v>62</v>
      </c>
      <c r="I181">
        <v>4</v>
      </c>
      <c r="J181" t="s">
        <v>37</v>
      </c>
      <c r="K181" t="s">
        <v>17</v>
      </c>
      <c r="L181" t="s">
        <v>55</v>
      </c>
      <c r="M181">
        <f t="shared" si="2"/>
        <v>16978</v>
      </c>
    </row>
    <row r="182" spans="1:13" x14ac:dyDescent="0.3">
      <c r="A182">
        <v>1181</v>
      </c>
      <c r="B182" t="s">
        <v>108</v>
      </c>
      <c r="C182" t="s">
        <v>45</v>
      </c>
      <c r="D182" t="s">
        <v>35</v>
      </c>
      <c r="E182" t="s">
        <v>65</v>
      </c>
      <c r="F182">
        <v>7150</v>
      </c>
      <c r="G182">
        <v>2</v>
      </c>
      <c r="H182">
        <v>492</v>
      </c>
      <c r="I182">
        <v>3</v>
      </c>
      <c r="J182" t="s">
        <v>22</v>
      </c>
      <c r="K182" t="s">
        <v>17</v>
      </c>
      <c r="L182" t="s">
        <v>192</v>
      </c>
      <c r="M182">
        <f t="shared" si="2"/>
        <v>13808</v>
      </c>
    </row>
    <row r="183" spans="1:13" x14ac:dyDescent="0.3">
      <c r="A183">
        <v>1182</v>
      </c>
      <c r="B183" t="s">
        <v>61</v>
      </c>
      <c r="C183" t="s">
        <v>20</v>
      </c>
      <c r="D183" t="s">
        <v>35</v>
      </c>
      <c r="E183" t="s">
        <v>119</v>
      </c>
      <c r="F183">
        <v>14702</v>
      </c>
      <c r="G183">
        <v>3</v>
      </c>
      <c r="H183">
        <v>254</v>
      </c>
      <c r="I183">
        <v>2</v>
      </c>
      <c r="J183" t="s">
        <v>22</v>
      </c>
      <c r="K183" t="s">
        <v>17</v>
      </c>
      <c r="L183" t="s">
        <v>193</v>
      </c>
      <c r="M183">
        <f t="shared" si="2"/>
        <v>43852</v>
      </c>
    </row>
    <row r="184" spans="1:13" x14ac:dyDescent="0.3">
      <c r="A184">
        <v>1183</v>
      </c>
      <c r="B184" t="s">
        <v>81</v>
      </c>
      <c r="C184" t="s">
        <v>13</v>
      </c>
      <c r="D184" t="s">
        <v>27</v>
      </c>
      <c r="E184" t="s">
        <v>28</v>
      </c>
      <c r="F184">
        <v>1128</v>
      </c>
      <c r="G184">
        <v>3</v>
      </c>
      <c r="H184">
        <v>253</v>
      </c>
      <c r="I184">
        <v>5</v>
      </c>
      <c r="J184" t="s">
        <v>37</v>
      </c>
      <c r="K184" t="s">
        <v>23</v>
      </c>
      <c r="L184" t="s">
        <v>194</v>
      </c>
      <c r="M184">
        <f t="shared" si="2"/>
        <v>3131</v>
      </c>
    </row>
    <row r="185" spans="1:13" x14ac:dyDescent="0.3">
      <c r="A185">
        <v>1184</v>
      </c>
      <c r="B185" t="s">
        <v>48</v>
      </c>
      <c r="C185" t="s">
        <v>26</v>
      </c>
      <c r="D185" t="s">
        <v>27</v>
      </c>
      <c r="E185" t="s">
        <v>62</v>
      </c>
      <c r="F185">
        <v>12815</v>
      </c>
      <c r="G185">
        <v>4</v>
      </c>
      <c r="H185">
        <v>187</v>
      </c>
      <c r="I185">
        <v>2</v>
      </c>
      <c r="J185" t="s">
        <v>40</v>
      </c>
      <c r="K185" t="s">
        <v>32</v>
      </c>
      <c r="L185" t="s">
        <v>188</v>
      </c>
      <c r="M185">
        <f t="shared" si="2"/>
        <v>51073</v>
      </c>
    </row>
    <row r="186" spans="1:13" x14ac:dyDescent="0.3">
      <c r="A186">
        <v>1185</v>
      </c>
      <c r="B186" t="s">
        <v>86</v>
      </c>
      <c r="C186" t="s">
        <v>13</v>
      </c>
      <c r="D186" t="s">
        <v>14</v>
      </c>
      <c r="E186" t="s">
        <v>31</v>
      </c>
      <c r="F186">
        <v>8561</v>
      </c>
      <c r="G186">
        <v>4</v>
      </c>
      <c r="H186">
        <v>391</v>
      </c>
      <c r="I186">
        <v>4</v>
      </c>
      <c r="J186" t="s">
        <v>22</v>
      </c>
      <c r="K186" t="s">
        <v>17</v>
      </c>
      <c r="L186" t="s">
        <v>195</v>
      </c>
      <c r="M186">
        <f t="shared" si="2"/>
        <v>33853</v>
      </c>
    </row>
    <row r="187" spans="1:13" x14ac:dyDescent="0.3">
      <c r="A187">
        <v>1186</v>
      </c>
      <c r="B187" t="s">
        <v>196</v>
      </c>
      <c r="C187" t="s">
        <v>20</v>
      </c>
      <c r="D187" t="s">
        <v>27</v>
      </c>
      <c r="E187" t="s">
        <v>62</v>
      </c>
      <c r="F187">
        <v>9439</v>
      </c>
      <c r="G187">
        <v>3</v>
      </c>
      <c r="H187">
        <v>386</v>
      </c>
      <c r="I187">
        <v>3</v>
      </c>
      <c r="J187" t="s">
        <v>37</v>
      </c>
      <c r="K187" t="s">
        <v>17</v>
      </c>
      <c r="L187" t="s">
        <v>152</v>
      </c>
      <c r="M187">
        <f t="shared" si="2"/>
        <v>27931</v>
      </c>
    </row>
    <row r="188" spans="1:13" x14ac:dyDescent="0.3">
      <c r="A188">
        <v>1187</v>
      </c>
      <c r="B188" t="s">
        <v>174</v>
      </c>
      <c r="C188" t="s">
        <v>26</v>
      </c>
      <c r="D188" t="s">
        <v>49</v>
      </c>
      <c r="E188" t="s">
        <v>95</v>
      </c>
      <c r="F188">
        <v>5756</v>
      </c>
      <c r="G188">
        <v>4</v>
      </c>
      <c r="H188">
        <v>265</v>
      </c>
      <c r="I188">
        <v>5</v>
      </c>
      <c r="J188" t="s">
        <v>40</v>
      </c>
      <c r="K188" t="s">
        <v>32</v>
      </c>
      <c r="L188" t="s">
        <v>107</v>
      </c>
      <c r="M188">
        <f t="shared" si="2"/>
        <v>22759</v>
      </c>
    </row>
    <row r="189" spans="1:13" x14ac:dyDescent="0.3">
      <c r="A189">
        <v>1188</v>
      </c>
      <c r="B189" t="s">
        <v>56</v>
      </c>
      <c r="C189" t="s">
        <v>20</v>
      </c>
      <c r="D189" t="s">
        <v>49</v>
      </c>
      <c r="E189" t="s">
        <v>137</v>
      </c>
      <c r="F189">
        <v>10400</v>
      </c>
      <c r="G189">
        <v>3</v>
      </c>
      <c r="H189">
        <v>303</v>
      </c>
      <c r="I189">
        <v>4</v>
      </c>
      <c r="J189" t="s">
        <v>40</v>
      </c>
      <c r="K189" t="s">
        <v>23</v>
      </c>
      <c r="L189" t="s">
        <v>181</v>
      </c>
      <c r="M189">
        <f t="shared" si="2"/>
        <v>30897</v>
      </c>
    </row>
    <row r="190" spans="1:13" x14ac:dyDescent="0.3">
      <c r="A190">
        <v>1189</v>
      </c>
      <c r="B190" t="s">
        <v>70</v>
      </c>
      <c r="C190" t="s">
        <v>20</v>
      </c>
      <c r="D190" t="s">
        <v>14</v>
      </c>
      <c r="E190" t="s">
        <v>99</v>
      </c>
      <c r="F190">
        <v>5727</v>
      </c>
      <c r="G190">
        <v>1</v>
      </c>
      <c r="H190">
        <v>213</v>
      </c>
      <c r="I190">
        <v>4</v>
      </c>
      <c r="J190" t="s">
        <v>40</v>
      </c>
      <c r="K190" t="s">
        <v>32</v>
      </c>
      <c r="L190" t="s">
        <v>197</v>
      </c>
      <c r="M190">
        <f t="shared" si="2"/>
        <v>5514</v>
      </c>
    </row>
    <row r="191" spans="1:13" x14ac:dyDescent="0.3">
      <c r="A191">
        <v>1190</v>
      </c>
      <c r="B191" t="s">
        <v>133</v>
      </c>
      <c r="C191" t="s">
        <v>20</v>
      </c>
      <c r="D191" t="s">
        <v>49</v>
      </c>
      <c r="E191" t="s">
        <v>95</v>
      </c>
      <c r="F191">
        <v>1141</v>
      </c>
      <c r="G191">
        <v>5</v>
      </c>
      <c r="H191">
        <v>245</v>
      </c>
      <c r="I191">
        <v>3</v>
      </c>
      <c r="J191" t="s">
        <v>22</v>
      </c>
      <c r="K191" t="s">
        <v>32</v>
      </c>
      <c r="L191" t="s">
        <v>51</v>
      </c>
      <c r="M191">
        <f t="shared" si="2"/>
        <v>5460</v>
      </c>
    </row>
    <row r="192" spans="1:13" x14ac:dyDescent="0.3">
      <c r="A192">
        <v>1191</v>
      </c>
      <c r="B192" t="s">
        <v>77</v>
      </c>
      <c r="C192" t="s">
        <v>20</v>
      </c>
      <c r="D192" t="s">
        <v>14</v>
      </c>
      <c r="E192" t="s">
        <v>126</v>
      </c>
      <c r="F192">
        <v>11777</v>
      </c>
      <c r="G192">
        <v>1</v>
      </c>
      <c r="H192">
        <v>97</v>
      </c>
      <c r="I192">
        <v>2</v>
      </c>
      <c r="J192" t="s">
        <v>22</v>
      </c>
      <c r="K192" t="s">
        <v>23</v>
      </c>
      <c r="L192" t="s">
        <v>198</v>
      </c>
      <c r="M192">
        <f t="shared" si="2"/>
        <v>11680</v>
      </c>
    </row>
    <row r="193" spans="1:13" x14ac:dyDescent="0.3">
      <c r="A193">
        <v>1192</v>
      </c>
      <c r="B193" t="s">
        <v>100</v>
      </c>
      <c r="C193" t="s">
        <v>26</v>
      </c>
      <c r="D193" t="s">
        <v>49</v>
      </c>
      <c r="E193" t="s">
        <v>137</v>
      </c>
      <c r="F193">
        <v>8521</v>
      </c>
      <c r="G193">
        <v>5</v>
      </c>
      <c r="H193">
        <v>471</v>
      </c>
      <c r="I193">
        <v>5</v>
      </c>
      <c r="J193" t="s">
        <v>22</v>
      </c>
      <c r="K193" t="s">
        <v>32</v>
      </c>
      <c r="L193" t="s">
        <v>146</v>
      </c>
      <c r="M193">
        <f t="shared" si="2"/>
        <v>42134</v>
      </c>
    </row>
    <row r="194" spans="1:13" x14ac:dyDescent="0.3">
      <c r="A194">
        <v>1193</v>
      </c>
      <c r="B194" t="s">
        <v>115</v>
      </c>
      <c r="C194" t="s">
        <v>45</v>
      </c>
      <c r="D194" t="s">
        <v>35</v>
      </c>
      <c r="E194" t="s">
        <v>65</v>
      </c>
      <c r="F194">
        <v>6473</v>
      </c>
      <c r="G194">
        <v>3</v>
      </c>
      <c r="H194">
        <v>489</v>
      </c>
      <c r="I194">
        <v>3</v>
      </c>
      <c r="J194" t="s">
        <v>40</v>
      </c>
      <c r="K194" t="s">
        <v>32</v>
      </c>
      <c r="L194" t="s">
        <v>129</v>
      </c>
      <c r="M194">
        <f t="shared" si="2"/>
        <v>18930</v>
      </c>
    </row>
    <row r="195" spans="1:13" x14ac:dyDescent="0.3">
      <c r="A195">
        <v>1194</v>
      </c>
      <c r="B195" t="s">
        <v>103</v>
      </c>
      <c r="C195" t="s">
        <v>45</v>
      </c>
      <c r="D195" t="s">
        <v>27</v>
      </c>
      <c r="E195" t="s">
        <v>46</v>
      </c>
      <c r="F195">
        <v>8232</v>
      </c>
      <c r="G195">
        <v>2</v>
      </c>
      <c r="H195">
        <v>490</v>
      </c>
      <c r="I195">
        <v>3</v>
      </c>
      <c r="J195" t="s">
        <v>22</v>
      </c>
      <c r="K195" t="s">
        <v>23</v>
      </c>
      <c r="L195" t="s">
        <v>129</v>
      </c>
      <c r="M195">
        <f t="shared" ref="M195:M201" si="3">(F195*G195)-H195</f>
        <v>15974</v>
      </c>
    </row>
    <row r="196" spans="1:13" x14ac:dyDescent="0.3">
      <c r="A196">
        <v>1195</v>
      </c>
      <c r="B196" t="s">
        <v>73</v>
      </c>
      <c r="C196" t="s">
        <v>45</v>
      </c>
      <c r="D196" t="s">
        <v>27</v>
      </c>
      <c r="E196" t="s">
        <v>42</v>
      </c>
      <c r="F196">
        <v>11608</v>
      </c>
      <c r="G196">
        <v>4</v>
      </c>
      <c r="H196">
        <v>162</v>
      </c>
      <c r="I196">
        <v>5</v>
      </c>
      <c r="J196" t="s">
        <v>40</v>
      </c>
      <c r="K196" t="s">
        <v>17</v>
      </c>
      <c r="L196" t="s">
        <v>170</v>
      </c>
      <c r="M196">
        <f t="shared" si="3"/>
        <v>46270</v>
      </c>
    </row>
    <row r="197" spans="1:13" x14ac:dyDescent="0.3">
      <c r="A197">
        <v>1196</v>
      </c>
      <c r="B197" t="s">
        <v>81</v>
      </c>
      <c r="C197" t="s">
        <v>45</v>
      </c>
      <c r="D197" t="s">
        <v>35</v>
      </c>
      <c r="E197" t="s">
        <v>119</v>
      </c>
      <c r="F197">
        <v>13708</v>
      </c>
      <c r="G197">
        <v>3</v>
      </c>
      <c r="H197">
        <v>488</v>
      </c>
      <c r="I197">
        <v>3</v>
      </c>
      <c r="J197" t="s">
        <v>37</v>
      </c>
      <c r="K197" t="s">
        <v>23</v>
      </c>
      <c r="L197" t="s">
        <v>60</v>
      </c>
      <c r="M197">
        <f t="shared" si="3"/>
        <v>40636</v>
      </c>
    </row>
    <row r="198" spans="1:13" x14ac:dyDescent="0.3">
      <c r="A198">
        <v>1197</v>
      </c>
      <c r="B198" t="s">
        <v>121</v>
      </c>
      <c r="C198" t="s">
        <v>45</v>
      </c>
      <c r="D198" t="s">
        <v>35</v>
      </c>
      <c r="E198" t="s">
        <v>106</v>
      </c>
      <c r="F198">
        <v>12544</v>
      </c>
      <c r="G198">
        <v>4</v>
      </c>
      <c r="H198">
        <v>109</v>
      </c>
      <c r="I198">
        <v>3</v>
      </c>
      <c r="J198" t="s">
        <v>22</v>
      </c>
      <c r="K198" t="s">
        <v>17</v>
      </c>
      <c r="L198" t="s">
        <v>116</v>
      </c>
      <c r="M198">
        <f t="shared" si="3"/>
        <v>50067</v>
      </c>
    </row>
    <row r="199" spans="1:13" x14ac:dyDescent="0.3">
      <c r="A199">
        <v>1198</v>
      </c>
      <c r="B199" t="s">
        <v>82</v>
      </c>
      <c r="C199" t="s">
        <v>20</v>
      </c>
      <c r="D199" t="s">
        <v>49</v>
      </c>
      <c r="E199" t="s">
        <v>59</v>
      </c>
      <c r="F199">
        <v>1131</v>
      </c>
      <c r="G199">
        <v>5</v>
      </c>
      <c r="H199">
        <v>115</v>
      </c>
      <c r="I199">
        <v>3</v>
      </c>
      <c r="J199" t="s">
        <v>40</v>
      </c>
      <c r="K199" t="s">
        <v>32</v>
      </c>
      <c r="L199" t="s">
        <v>199</v>
      </c>
      <c r="M199">
        <f t="shared" si="3"/>
        <v>5540</v>
      </c>
    </row>
    <row r="200" spans="1:13" x14ac:dyDescent="0.3">
      <c r="A200">
        <v>1199</v>
      </c>
      <c r="B200" t="s">
        <v>172</v>
      </c>
      <c r="C200" t="s">
        <v>20</v>
      </c>
      <c r="D200" t="s">
        <v>14</v>
      </c>
      <c r="E200" t="s">
        <v>92</v>
      </c>
      <c r="F200">
        <v>12928</v>
      </c>
      <c r="G200">
        <v>2</v>
      </c>
      <c r="H200">
        <v>2</v>
      </c>
      <c r="I200">
        <v>3</v>
      </c>
      <c r="J200" t="s">
        <v>22</v>
      </c>
      <c r="K200" t="s">
        <v>23</v>
      </c>
      <c r="L200" t="s">
        <v>146</v>
      </c>
      <c r="M200">
        <f t="shared" si="3"/>
        <v>25854</v>
      </c>
    </row>
    <row r="201" spans="1:13" x14ac:dyDescent="0.3">
      <c r="A201">
        <v>1200</v>
      </c>
      <c r="B201" t="s">
        <v>121</v>
      </c>
      <c r="C201" t="s">
        <v>26</v>
      </c>
      <c r="D201" t="s">
        <v>27</v>
      </c>
      <c r="E201" t="s">
        <v>28</v>
      </c>
      <c r="F201">
        <v>12894</v>
      </c>
      <c r="G201">
        <v>1</v>
      </c>
      <c r="H201">
        <v>333</v>
      </c>
      <c r="I201">
        <v>3</v>
      </c>
      <c r="J201" t="s">
        <v>16</v>
      </c>
      <c r="K201" t="s">
        <v>17</v>
      </c>
      <c r="L201" t="s">
        <v>182</v>
      </c>
      <c r="M201">
        <f t="shared" si="3"/>
        <v>12561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Bhuvaneshwari Rebba</cp:lastModifiedBy>
  <dcterms:created xsi:type="dcterms:W3CDTF">2026-08-11T07:37:20Z</dcterms:created>
  <dcterms:modified xsi:type="dcterms:W3CDTF">2026-09-01T12:22:47Z</dcterms:modified>
</cp:coreProperties>
</file>